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guedjombou/Desktop/article_son/new_file_data/"/>
    </mc:Choice>
  </mc:AlternateContent>
  <xr:revisionPtr revIDLastSave="0" documentId="13_ncr:1_{653EE0CD-BCE6-714C-9E6A-EE838B6357E8}" xr6:coauthVersionLast="47" xr6:coauthVersionMax="47" xr10:uidLastSave="{00000000-0000-0000-0000-000000000000}"/>
  <bookViews>
    <workbookView xWindow="0" yWindow="500" windowWidth="35840" windowHeight="20300" activeTab="1" xr2:uid="{0E1F1731-A9CA-1C49-9237-85D3DC2ADEAF}"/>
  </bookViews>
  <sheets>
    <sheet name="poutre" sheetId="1" r:id="rId1"/>
    <sheet name="plaq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1" l="1"/>
  <c r="AI4" i="1"/>
  <c r="AJ4" i="1"/>
  <c r="AK4" i="1"/>
  <c r="AL4" i="1"/>
  <c r="AM4" i="1"/>
  <c r="AH5" i="1"/>
  <c r="AI5" i="1"/>
  <c r="AJ5" i="1"/>
  <c r="AK5" i="1"/>
  <c r="AL5" i="1"/>
  <c r="AM5" i="1"/>
  <c r="AH7" i="1"/>
  <c r="AI7" i="1"/>
  <c r="AJ7" i="1"/>
  <c r="AK7" i="1"/>
  <c r="AL7" i="1"/>
  <c r="AM7" i="1"/>
  <c r="AH8" i="1"/>
  <c r="AI8" i="1"/>
  <c r="AJ8" i="1"/>
  <c r="AK8" i="1"/>
  <c r="AL8" i="1"/>
  <c r="AM8" i="1"/>
  <c r="AH9" i="1"/>
  <c r="AI9" i="1"/>
  <c r="AJ9" i="1"/>
  <c r="AK9" i="1"/>
  <c r="AL9" i="1"/>
  <c r="AM9" i="1"/>
  <c r="AH11" i="1"/>
  <c r="AI11" i="1"/>
  <c r="AJ11" i="1"/>
  <c r="AK11" i="1"/>
  <c r="AL11" i="1"/>
  <c r="AM11" i="1"/>
  <c r="AH13" i="1"/>
  <c r="AI13" i="1"/>
  <c r="AJ13" i="1"/>
  <c r="AK13" i="1"/>
  <c r="AL13" i="1"/>
  <c r="AM13" i="1"/>
  <c r="AH14" i="1"/>
  <c r="AI14" i="1"/>
  <c r="AJ14" i="1"/>
  <c r="AK14" i="1"/>
  <c r="AL14" i="1"/>
  <c r="AM14" i="1"/>
  <c r="AH15" i="1"/>
  <c r="AI15" i="1"/>
  <c r="AJ15" i="1"/>
  <c r="AK15" i="1"/>
  <c r="AL15" i="1"/>
  <c r="AM15" i="1"/>
  <c r="AH17" i="1"/>
  <c r="AI17" i="1"/>
  <c r="AJ17" i="1"/>
  <c r="AK17" i="1"/>
  <c r="AL17" i="1"/>
  <c r="AM17" i="1"/>
  <c r="AH18" i="1"/>
  <c r="AI18" i="1"/>
  <c r="AJ18" i="1"/>
  <c r="AK18" i="1"/>
  <c r="AL18" i="1"/>
  <c r="AM18" i="1"/>
  <c r="AH19" i="1"/>
  <c r="AI19" i="1"/>
  <c r="AJ19" i="1"/>
  <c r="AK19" i="1"/>
  <c r="AL19" i="1"/>
  <c r="AM19" i="1"/>
  <c r="AH21" i="1"/>
  <c r="AI21" i="1"/>
  <c r="AJ21" i="1"/>
  <c r="AK21" i="1"/>
  <c r="AL21" i="1"/>
  <c r="AM21" i="1"/>
  <c r="AH22" i="1"/>
  <c r="AI22" i="1"/>
  <c r="AJ22" i="1"/>
  <c r="AK22" i="1"/>
  <c r="AL22" i="1"/>
  <c r="AH23" i="1"/>
  <c r="AI23" i="1"/>
  <c r="AJ23" i="1"/>
  <c r="AK23" i="1"/>
  <c r="AL23" i="1"/>
  <c r="AM23" i="1"/>
  <c r="AH25" i="1"/>
  <c r="AI25" i="1"/>
  <c r="AJ25" i="1"/>
  <c r="AH27" i="1"/>
  <c r="AI27" i="1"/>
  <c r="AJ27" i="1"/>
  <c r="AK27" i="1"/>
  <c r="AL27" i="1"/>
  <c r="AM27" i="1"/>
  <c r="AH28" i="1"/>
  <c r="AI28" i="1"/>
  <c r="AJ28" i="1"/>
  <c r="AK28" i="1"/>
  <c r="AL28" i="1"/>
  <c r="AH29" i="1"/>
  <c r="AI29" i="1"/>
  <c r="AJ29" i="1"/>
  <c r="AK29" i="1"/>
  <c r="AL29" i="1"/>
  <c r="AI3" i="1"/>
  <c r="AJ3" i="1"/>
  <c r="AK3" i="1"/>
  <c r="AL3" i="1"/>
  <c r="AM3" i="1"/>
  <c r="AH3" i="1"/>
  <c r="AH3" i="2"/>
  <c r="AB5" i="1"/>
  <c r="AD5" i="1"/>
  <c r="AE5" i="1"/>
  <c r="Z7" i="1"/>
  <c r="Z8" i="1"/>
  <c r="Z9" i="1"/>
  <c r="AC9" i="1"/>
  <c r="AD9" i="1"/>
  <c r="Z18" i="1"/>
  <c r="AA19" i="1"/>
  <c r="AB19" i="1"/>
  <c r="AC19" i="1"/>
  <c r="AD19" i="1"/>
  <c r="AE19" i="1"/>
  <c r="AB23" i="1"/>
  <c r="AC23" i="1"/>
  <c r="AD23" i="1"/>
  <c r="AE23" i="1"/>
  <c r="Z25" i="1"/>
  <c r="AA25" i="1"/>
  <c r="AB25" i="1"/>
  <c r="Z27" i="1"/>
  <c r="Z29" i="1"/>
  <c r="AH4" i="2"/>
  <c r="AI4" i="2"/>
  <c r="AJ4" i="2"/>
  <c r="AK4" i="2"/>
  <c r="AL4" i="2"/>
  <c r="AM4" i="2"/>
  <c r="AH5" i="2"/>
  <c r="AI5" i="2"/>
  <c r="AJ5" i="2"/>
  <c r="AK5" i="2"/>
  <c r="AL5" i="2"/>
  <c r="AM5" i="2"/>
  <c r="AH7" i="2"/>
  <c r="AI7" i="2"/>
  <c r="AJ7" i="2"/>
  <c r="AK7" i="2"/>
  <c r="AL7" i="2"/>
  <c r="AM7" i="2"/>
  <c r="AH8" i="2"/>
  <c r="AI8" i="2"/>
  <c r="AJ8" i="2"/>
  <c r="AK8" i="2"/>
  <c r="AL8" i="2"/>
  <c r="AM8" i="2"/>
  <c r="AH9" i="2"/>
  <c r="AI9" i="2"/>
  <c r="AJ9" i="2"/>
  <c r="AK9" i="2"/>
  <c r="AL9" i="2"/>
  <c r="AM9" i="2"/>
  <c r="AH10" i="2"/>
  <c r="AI10" i="2"/>
  <c r="AJ10" i="2"/>
  <c r="AK10" i="2"/>
  <c r="AL10" i="2"/>
  <c r="AM10" i="2"/>
  <c r="AH11" i="2"/>
  <c r="AI11" i="2"/>
  <c r="AJ11" i="2"/>
  <c r="AK11" i="2"/>
  <c r="AL11" i="2"/>
  <c r="AM11" i="2"/>
  <c r="AH13" i="2"/>
  <c r="AI13" i="2"/>
  <c r="AJ13" i="2"/>
  <c r="AK13" i="2"/>
  <c r="AL13" i="2"/>
  <c r="AM13" i="2"/>
  <c r="AH15" i="2"/>
  <c r="AI15" i="2"/>
  <c r="AJ15" i="2"/>
  <c r="AK15" i="2"/>
  <c r="AL15" i="2"/>
  <c r="AM15" i="2"/>
  <c r="AH17" i="2"/>
  <c r="AI17" i="2"/>
  <c r="AJ17" i="2"/>
  <c r="AK17" i="2"/>
  <c r="AL17" i="2"/>
  <c r="AH19" i="2"/>
  <c r="AI19" i="2"/>
  <c r="AJ19" i="2"/>
  <c r="AK19" i="2"/>
  <c r="AL19" i="2"/>
  <c r="AM19" i="2"/>
  <c r="AI3" i="2"/>
  <c r="AJ3" i="2"/>
  <c r="AK3" i="2"/>
  <c r="AL3" i="2"/>
  <c r="AM3" i="2"/>
  <c r="Z14" i="2"/>
  <c r="AA14" i="2"/>
  <c r="AB14" i="2"/>
  <c r="AC14" i="2"/>
  <c r="AD14" i="2"/>
  <c r="AE14" i="2"/>
  <c r="AD19" i="2"/>
  <c r="AC3" i="2"/>
  <c r="O15" i="1"/>
  <c r="AE15" i="1" s="1"/>
  <c r="K3" i="1"/>
  <c r="AA3" i="1" s="1"/>
  <c r="L3" i="1"/>
  <c r="AB3" i="1" s="1"/>
  <c r="M3" i="1"/>
  <c r="AC3" i="1" s="1"/>
  <c r="N3" i="1"/>
  <c r="AD3" i="1" s="1"/>
  <c r="O3" i="1"/>
  <c r="AE3" i="1" s="1"/>
  <c r="K4" i="1"/>
  <c r="AA4" i="1" s="1"/>
  <c r="L4" i="1"/>
  <c r="AB4" i="1" s="1"/>
  <c r="M4" i="1"/>
  <c r="AC4" i="1" s="1"/>
  <c r="N4" i="1"/>
  <c r="AD4" i="1" s="1"/>
  <c r="O4" i="1"/>
  <c r="AE4" i="1" s="1"/>
  <c r="K5" i="1"/>
  <c r="AA5" i="1" s="1"/>
  <c r="L5" i="1"/>
  <c r="M5" i="1"/>
  <c r="AC5" i="1" s="1"/>
  <c r="N5" i="1"/>
  <c r="O5" i="1"/>
  <c r="K7" i="1"/>
  <c r="AA7" i="1" s="1"/>
  <c r="L7" i="1"/>
  <c r="AB7" i="1" s="1"/>
  <c r="M7" i="1"/>
  <c r="AC7" i="1" s="1"/>
  <c r="N7" i="1"/>
  <c r="AD7" i="1" s="1"/>
  <c r="O7" i="1"/>
  <c r="AE7" i="1" s="1"/>
  <c r="K8" i="1"/>
  <c r="AA8" i="1" s="1"/>
  <c r="L8" i="1"/>
  <c r="AB8" i="1" s="1"/>
  <c r="M8" i="1"/>
  <c r="AC8" i="1" s="1"/>
  <c r="N8" i="1"/>
  <c r="AD8" i="1" s="1"/>
  <c r="O8" i="1"/>
  <c r="AE8" i="1" s="1"/>
  <c r="K9" i="1"/>
  <c r="AA9" i="1" s="1"/>
  <c r="L9" i="1"/>
  <c r="AB9" i="1" s="1"/>
  <c r="M9" i="1"/>
  <c r="N9" i="1"/>
  <c r="O9" i="1"/>
  <c r="AE9" i="1" s="1"/>
  <c r="K11" i="1"/>
  <c r="AA11" i="1" s="1"/>
  <c r="L11" i="1"/>
  <c r="AB11" i="1" s="1"/>
  <c r="M11" i="1"/>
  <c r="AC11" i="1" s="1"/>
  <c r="N11" i="1"/>
  <c r="AD11" i="1" s="1"/>
  <c r="O11" i="1"/>
  <c r="AE11" i="1" s="1"/>
  <c r="K13" i="1"/>
  <c r="AA13" i="1" s="1"/>
  <c r="L13" i="1"/>
  <c r="AB13" i="1" s="1"/>
  <c r="M13" i="1"/>
  <c r="AC13" i="1" s="1"/>
  <c r="N13" i="1"/>
  <c r="AD13" i="1" s="1"/>
  <c r="O13" i="1"/>
  <c r="AE13" i="1" s="1"/>
  <c r="K14" i="1"/>
  <c r="AA14" i="1" s="1"/>
  <c r="L14" i="1"/>
  <c r="AB14" i="1" s="1"/>
  <c r="M14" i="1"/>
  <c r="AC14" i="1" s="1"/>
  <c r="N14" i="1"/>
  <c r="AD14" i="1" s="1"/>
  <c r="O14" i="1"/>
  <c r="AE14" i="1" s="1"/>
  <c r="K15" i="1"/>
  <c r="AA15" i="1" s="1"/>
  <c r="L15" i="1"/>
  <c r="AB15" i="1" s="1"/>
  <c r="M15" i="1"/>
  <c r="AC15" i="1" s="1"/>
  <c r="N15" i="1"/>
  <c r="AD15" i="1" s="1"/>
  <c r="K17" i="1"/>
  <c r="AA17" i="1" s="1"/>
  <c r="L17" i="1"/>
  <c r="AB17" i="1" s="1"/>
  <c r="M17" i="1"/>
  <c r="AC17" i="1" s="1"/>
  <c r="N17" i="1"/>
  <c r="AD17" i="1" s="1"/>
  <c r="O17" i="1"/>
  <c r="AE17" i="1" s="1"/>
  <c r="K18" i="1"/>
  <c r="AA18" i="1" s="1"/>
  <c r="L18" i="1"/>
  <c r="AB18" i="1" s="1"/>
  <c r="M18" i="1"/>
  <c r="AC18" i="1" s="1"/>
  <c r="N18" i="1"/>
  <c r="AD18" i="1" s="1"/>
  <c r="O18" i="1"/>
  <c r="AE18" i="1" s="1"/>
  <c r="K19" i="1"/>
  <c r="L19" i="1"/>
  <c r="M19" i="1"/>
  <c r="N19" i="1"/>
  <c r="O19" i="1"/>
  <c r="K21" i="1"/>
  <c r="AA21" i="1" s="1"/>
  <c r="L21" i="1"/>
  <c r="AB21" i="1" s="1"/>
  <c r="M21" i="1"/>
  <c r="AC21" i="1" s="1"/>
  <c r="N21" i="1"/>
  <c r="AD21" i="1" s="1"/>
  <c r="O21" i="1"/>
  <c r="AE21" i="1" s="1"/>
  <c r="K22" i="1"/>
  <c r="AA22" i="1" s="1"/>
  <c r="L22" i="1"/>
  <c r="AB22" i="1" s="1"/>
  <c r="M22" i="1"/>
  <c r="AC22" i="1" s="1"/>
  <c r="N22" i="1"/>
  <c r="AD22" i="1" s="1"/>
  <c r="O22" i="1"/>
  <c r="K23" i="1"/>
  <c r="AA23" i="1" s="1"/>
  <c r="L23" i="1"/>
  <c r="M23" i="1"/>
  <c r="N23" i="1"/>
  <c r="O23" i="1"/>
  <c r="K25" i="1"/>
  <c r="L25" i="1"/>
  <c r="K27" i="1"/>
  <c r="AA27" i="1" s="1"/>
  <c r="L27" i="1"/>
  <c r="AB27" i="1" s="1"/>
  <c r="M27" i="1"/>
  <c r="AC27" i="1" s="1"/>
  <c r="N27" i="1"/>
  <c r="AD27" i="1" s="1"/>
  <c r="O27" i="1"/>
  <c r="AE27" i="1" s="1"/>
  <c r="K28" i="1"/>
  <c r="AA28" i="1" s="1"/>
  <c r="L28" i="1"/>
  <c r="AB28" i="1" s="1"/>
  <c r="M28" i="1"/>
  <c r="AC28" i="1" s="1"/>
  <c r="N28" i="1"/>
  <c r="AD28" i="1" s="1"/>
  <c r="K29" i="1"/>
  <c r="AA29" i="1" s="1"/>
  <c r="L29" i="1"/>
  <c r="AB29" i="1" s="1"/>
  <c r="M29" i="1"/>
  <c r="AC29" i="1" s="1"/>
  <c r="N29" i="1"/>
  <c r="AD29" i="1" s="1"/>
  <c r="J29" i="1"/>
  <c r="J28" i="1"/>
  <c r="Z28" i="1" s="1"/>
  <c r="J27" i="1"/>
  <c r="J25" i="1"/>
  <c r="J23" i="1"/>
  <c r="Z23" i="1" s="1"/>
  <c r="J22" i="1"/>
  <c r="Z22" i="1" s="1"/>
  <c r="J21" i="1"/>
  <c r="Z21" i="1" s="1"/>
  <c r="J19" i="1"/>
  <c r="Z19" i="1" s="1"/>
  <c r="J18" i="1"/>
  <c r="J17" i="1"/>
  <c r="Z17" i="1" s="1"/>
  <c r="J15" i="1"/>
  <c r="Z15" i="1" s="1"/>
  <c r="J13" i="1"/>
  <c r="Z13" i="1" s="1"/>
  <c r="J14" i="1"/>
  <c r="Z14" i="1" s="1"/>
  <c r="J11" i="1"/>
  <c r="Z11" i="1" s="1"/>
  <c r="J9" i="1"/>
  <c r="J8" i="1"/>
  <c r="J7" i="1"/>
  <c r="J5" i="1"/>
  <c r="Z5" i="1" s="1"/>
  <c r="J4" i="1"/>
  <c r="Z4" i="1" s="1"/>
  <c r="J3" i="1"/>
  <c r="Z3" i="1" s="1"/>
  <c r="K4" i="2"/>
  <c r="AA4" i="2" s="1"/>
  <c r="L4" i="2"/>
  <c r="AB4" i="2" s="1"/>
  <c r="M4" i="2"/>
  <c r="AC4" i="2" s="1"/>
  <c r="N4" i="2"/>
  <c r="AD4" i="2" s="1"/>
  <c r="O4" i="2"/>
  <c r="AE4" i="2" s="1"/>
  <c r="K5" i="2"/>
  <c r="AA5" i="2" s="1"/>
  <c r="L5" i="2"/>
  <c r="AB5" i="2" s="1"/>
  <c r="M5" i="2"/>
  <c r="AC5" i="2" s="1"/>
  <c r="N5" i="2"/>
  <c r="AD5" i="2" s="1"/>
  <c r="O5" i="2"/>
  <c r="AE5" i="2" s="1"/>
  <c r="K7" i="2"/>
  <c r="AA7" i="2" s="1"/>
  <c r="L7" i="2"/>
  <c r="AB7" i="2" s="1"/>
  <c r="M7" i="2"/>
  <c r="AC7" i="2" s="1"/>
  <c r="N7" i="2"/>
  <c r="AD7" i="2" s="1"/>
  <c r="O7" i="2"/>
  <c r="AE7" i="2" s="1"/>
  <c r="K8" i="2"/>
  <c r="AA8" i="2" s="1"/>
  <c r="L8" i="2"/>
  <c r="AB8" i="2" s="1"/>
  <c r="M8" i="2"/>
  <c r="AC8" i="2" s="1"/>
  <c r="N8" i="2"/>
  <c r="AD8" i="2" s="1"/>
  <c r="O8" i="2"/>
  <c r="AE8" i="2" s="1"/>
  <c r="K9" i="2"/>
  <c r="AA9" i="2" s="1"/>
  <c r="L9" i="2"/>
  <c r="AB9" i="2" s="1"/>
  <c r="M9" i="2"/>
  <c r="AC9" i="2" s="1"/>
  <c r="N9" i="2"/>
  <c r="AD9" i="2" s="1"/>
  <c r="O9" i="2"/>
  <c r="AE9" i="2" s="1"/>
  <c r="K10" i="2"/>
  <c r="AA10" i="2" s="1"/>
  <c r="L10" i="2"/>
  <c r="AB10" i="2" s="1"/>
  <c r="M10" i="2"/>
  <c r="AC10" i="2" s="1"/>
  <c r="N10" i="2"/>
  <c r="AD10" i="2" s="1"/>
  <c r="O10" i="2"/>
  <c r="AE10" i="2" s="1"/>
  <c r="K11" i="2"/>
  <c r="AA11" i="2" s="1"/>
  <c r="L11" i="2"/>
  <c r="AB11" i="2" s="1"/>
  <c r="M11" i="2"/>
  <c r="AC11" i="2" s="1"/>
  <c r="N11" i="2"/>
  <c r="AD11" i="2" s="1"/>
  <c r="O11" i="2"/>
  <c r="AE11" i="2" s="1"/>
  <c r="K13" i="2"/>
  <c r="AA13" i="2" s="1"/>
  <c r="L13" i="2"/>
  <c r="AB13" i="2" s="1"/>
  <c r="M13" i="2"/>
  <c r="AC13" i="2" s="1"/>
  <c r="N13" i="2"/>
  <c r="AD13" i="2" s="1"/>
  <c r="O13" i="2"/>
  <c r="AE13" i="2" s="1"/>
  <c r="K15" i="2"/>
  <c r="AA15" i="2" s="1"/>
  <c r="L15" i="2"/>
  <c r="AB15" i="2" s="1"/>
  <c r="M15" i="2"/>
  <c r="AC15" i="2" s="1"/>
  <c r="N15" i="2"/>
  <c r="AD15" i="2" s="1"/>
  <c r="O15" i="2"/>
  <c r="AE15" i="2" s="1"/>
  <c r="K17" i="2"/>
  <c r="AA17" i="2" s="1"/>
  <c r="L17" i="2"/>
  <c r="AB17" i="2" s="1"/>
  <c r="M17" i="2"/>
  <c r="AC17" i="2" s="1"/>
  <c r="N17" i="2"/>
  <c r="AD17" i="2" s="1"/>
  <c r="K19" i="2"/>
  <c r="AA19" i="2" s="1"/>
  <c r="L19" i="2"/>
  <c r="AB19" i="2" s="1"/>
  <c r="M19" i="2"/>
  <c r="AC19" i="2" s="1"/>
  <c r="N19" i="2"/>
  <c r="O19" i="2"/>
  <c r="AE19" i="2" s="1"/>
  <c r="J19" i="2"/>
  <c r="Z19" i="2" s="1"/>
  <c r="J17" i="2"/>
  <c r="Z17" i="2" s="1"/>
  <c r="J15" i="2"/>
  <c r="Z15" i="2" s="1"/>
  <c r="J13" i="2"/>
  <c r="Z13" i="2" s="1"/>
  <c r="J11" i="2"/>
  <c r="Z11" i="2" s="1"/>
  <c r="J10" i="2"/>
  <c r="Z10" i="2" s="1"/>
  <c r="J9" i="2"/>
  <c r="Z9" i="2" s="1"/>
  <c r="J8" i="2"/>
  <c r="Z8" i="2" s="1"/>
  <c r="J7" i="2"/>
  <c r="Z7" i="2" s="1"/>
  <c r="J5" i="2"/>
  <c r="Z5" i="2" s="1"/>
  <c r="J4" i="2"/>
  <c r="Z4" i="2" s="1"/>
  <c r="K3" i="2"/>
  <c r="AA3" i="2" s="1"/>
  <c r="L3" i="2"/>
  <c r="AB3" i="2" s="1"/>
  <c r="M3" i="2"/>
  <c r="N3" i="2"/>
  <c r="AD3" i="2" s="1"/>
  <c r="O3" i="2"/>
  <c r="AE3" i="2" s="1"/>
  <c r="J3" i="2"/>
  <c r="Z3" i="2" s="1"/>
</calcChain>
</file>

<file path=xl/sharedStrings.xml><?xml version="1.0" encoding="utf-8"?>
<sst xmlns="http://schemas.openxmlformats.org/spreadsheetml/2006/main" count="174" uniqueCount="41">
  <si>
    <t>pl</t>
  </si>
  <si>
    <t>LG</t>
  </si>
  <si>
    <t>P</t>
  </si>
  <si>
    <t>Forme</t>
  </si>
  <si>
    <t>RDEM</t>
  </si>
  <si>
    <t>Carrière/geologie</t>
  </si>
  <si>
    <t>L_a</t>
  </si>
  <si>
    <t>L_b</t>
  </si>
  <si>
    <t>L_e</t>
  </si>
  <si>
    <t>M_1a</t>
  </si>
  <si>
    <t>M_2a</t>
  </si>
  <si>
    <t>M_b</t>
  </si>
  <si>
    <t>M_c</t>
  </si>
  <si>
    <t>M_f</t>
  </si>
  <si>
    <t>S_d</t>
  </si>
  <si>
    <t>S_a1</t>
  </si>
  <si>
    <t>f1</t>
  </si>
  <si>
    <t>Q</t>
  </si>
  <si>
    <t>pt</t>
  </si>
  <si>
    <t>L_a2</t>
  </si>
  <si>
    <t>L_a3</t>
  </si>
  <si>
    <t>L_a4</t>
  </si>
  <si>
    <t>L_e2</t>
  </si>
  <si>
    <t>L_e3</t>
  </si>
  <si>
    <t>L_e4</t>
  </si>
  <si>
    <t>L_b2</t>
  </si>
  <si>
    <t>M_a2</t>
  </si>
  <si>
    <t>M_a3</t>
  </si>
  <si>
    <t>M_a4</t>
  </si>
  <si>
    <t>M_c2</t>
  </si>
  <si>
    <t>M_c3</t>
  </si>
  <si>
    <t>M_c4</t>
  </si>
  <si>
    <t>M_b2</t>
  </si>
  <si>
    <t>M_b3</t>
  </si>
  <si>
    <t>M_b4</t>
  </si>
  <si>
    <t>S_b2</t>
  </si>
  <si>
    <t>S_d2</t>
  </si>
  <si>
    <t>S_d3</t>
  </si>
  <si>
    <t>S_d4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</si>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</sst>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Damage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poutre!$Y$3</c:f>
              <c:strCache>
                <c:ptCount val="1"/>
                <c:pt idx="0">
                  <c:v>L_a2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poutre!$Z$3:$AE$3</c:f>
              <c:numCache>
                <c:formatCode>General</c:formatCode>
                <c:ptCount val="6"/>
                <c:pt idx="0">
                  <c:v>0</c:v>
                </c:pt>
                <c:pt idx="1">
                  <c:v>-1.0000000000000009E-2</c:v>
                </c:pt>
                <c:pt idx="2">
                  <c:v>5.0000000000000044E-2</c:v>
                </c:pt>
                <c:pt idx="3">
                  <c:v>5.0000000000000044E-2</c:v>
                </c:pt>
                <c:pt idx="4">
                  <c:v>6.9999999999999951E-2</c:v>
                </c:pt>
                <c:pt idx="5">
                  <c:v>6.9999999999999951E-2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FE-944F-8991-707BF86E6CEB}"/>
            </c:ext>
          </c:extLst>
        </c:ser>
        <c:ser>
          <c:idx val="1"/>
          <c:order val="1"/>
          <c:tx>
            <c:strRef>
              <c:f>poutre!$Y$4</c:f>
              <c:strCache>
                <c:ptCount val="1"/>
                <c:pt idx="0">
                  <c:v>L_a3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poutre!$Z$4:$AE$4</c:f>
              <c:numCache>
                <c:formatCode>General</c:formatCode>
                <c:ptCount val="6"/>
                <c:pt idx="0">
                  <c:v>0</c:v>
                </c:pt>
                <c:pt idx="1">
                  <c:v>-1.0000000000000009E-2</c:v>
                </c:pt>
                <c:pt idx="2">
                  <c:v>3.0000000000000027E-2</c:v>
                </c:pt>
                <c:pt idx="3">
                  <c:v>2.0000000000000018E-2</c:v>
                </c:pt>
                <c:pt idx="4">
                  <c:v>4.0000000000000036E-2</c:v>
                </c:pt>
                <c:pt idx="5">
                  <c:v>5.0000000000000044E-2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FE-944F-8991-707BF86E6CEB}"/>
            </c:ext>
          </c:extLst>
        </c:ser>
        <c:ser>
          <c:idx val="2"/>
          <c:order val="2"/>
          <c:tx>
            <c:strRef>
              <c:f>poutre!$Y$5</c:f>
              <c:strCache>
                <c:ptCount val="1"/>
                <c:pt idx="0">
                  <c:v>L_a4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poutre!$Z$5:$AE$5</c:f>
              <c:numCache>
                <c:formatCode>General</c:formatCode>
                <c:ptCount val="6"/>
                <c:pt idx="0">
                  <c:v>0</c:v>
                </c:pt>
                <c:pt idx="1">
                  <c:v>-2.0000000000000018E-2</c:v>
                </c:pt>
                <c:pt idx="2">
                  <c:v>5.0000000000000044E-2</c:v>
                </c:pt>
                <c:pt idx="3">
                  <c:v>5.0000000000000044E-2</c:v>
                </c:pt>
                <c:pt idx="4">
                  <c:v>6.0000000000000053E-2</c:v>
                </c:pt>
                <c:pt idx="5">
                  <c:v>6.9999999999999951E-2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FE-944F-8991-707BF86E6CEB}"/>
            </c:ext>
          </c:extLst>
        </c:ser>
        <c:ser>
          <c:idx val="3"/>
          <c:order val="3"/>
          <c:tx>
            <c:strRef>
              <c:f>poutre!$Y$6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poutre!$Z$6:$AE$6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FE-944F-8991-707BF86E6CEB}"/>
            </c:ext>
          </c:extLst>
        </c:ser>
        <c:ser>
          <c:idx val="4"/>
          <c:order val="4"/>
          <c:tx>
            <c:strRef>
              <c:f>poutre!$Y$7</c:f>
              <c:strCache>
                <c:ptCount val="1"/>
                <c:pt idx="0">
                  <c:v>L_e2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poutre!$Z$7:$AE$7</c:f>
              <c:numCache>
                <c:formatCode>General</c:formatCode>
                <c:ptCount val="6"/>
                <c:pt idx="0">
                  <c:v>0</c:v>
                </c:pt>
                <c:pt idx="1">
                  <c:v>-1.0000000000000009E-2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2.0000000000000018E-2</c:v>
                </c:pt>
                <c:pt idx="5">
                  <c:v>1.0000000000000009E-2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3FE-944F-8991-707BF86E6CEB}"/>
            </c:ext>
          </c:extLst>
        </c:ser>
        <c:ser>
          <c:idx val="5"/>
          <c:order val="5"/>
          <c:tx>
            <c:strRef>
              <c:f>poutre!$Y$8</c:f>
              <c:strCache>
                <c:ptCount val="1"/>
                <c:pt idx="0">
                  <c:v>L_e3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poutre!$Z$8:$AE$8</c:f>
              <c:numCache>
                <c:formatCode>General</c:formatCode>
                <c:ptCount val="6"/>
                <c:pt idx="0">
                  <c:v>0</c:v>
                </c:pt>
                <c:pt idx="1">
                  <c:v>-2.0000000000000018E-2</c:v>
                </c:pt>
                <c:pt idx="2">
                  <c:v>1.0000000000000009E-2</c:v>
                </c:pt>
                <c:pt idx="3">
                  <c:v>-1.0000000000000009E-2</c:v>
                </c:pt>
                <c:pt idx="4">
                  <c:v>1.0000000000000009E-2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FE-944F-8991-707BF86E6CEB}"/>
            </c:ext>
          </c:extLst>
        </c:ser>
        <c:ser>
          <c:idx val="6"/>
          <c:order val="6"/>
          <c:tx>
            <c:strRef>
              <c:f>poutre!$Y$9</c:f>
              <c:strCache>
                <c:ptCount val="1"/>
                <c:pt idx="0">
                  <c:v>L_e4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poutre!$Z$9:$AE$9</c:f>
              <c:numCache>
                <c:formatCode>General</c:formatCode>
                <c:ptCount val="6"/>
                <c:pt idx="0">
                  <c:v>0</c:v>
                </c:pt>
                <c:pt idx="1">
                  <c:v>-3.0000000000000027E-2</c:v>
                </c:pt>
                <c:pt idx="2">
                  <c:v>0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2.0000000000000018E-2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3FE-944F-8991-707BF86E6CEB}"/>
            </c:ext>
          </c:extLst>
        </c:ser>
        <c:ser>
          <c:idx val="7"/>
          <c:order val="7"/>
          <c:tx>
            <c:strRef>
              <c:f>poutre!$Y$10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poutre!$Z$10:$AE$10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3FE-944F-8991-707BF86E6CEB}"/>
            </c:ext>
          </c:extLst>
        </c:ser>
        <c:ser>
          <c:idx val="8"/>
          <c:order val="8"/>
          <c:tx>
            <c:strRef>
              <c:f>poutre!$Y$11</c:f>
              <c:strCache>
                <c:ptCount val="1"/>
                <c:pt idx="0">
                  <c:v>L_b2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poutre!$Z$11:$AE$11</c:f>
              <c:numCache>
                <c:formatCode>General</c:formatCode>
                <c:ptCount val="6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0</c:v>
                </c:pt>
                <c:pt idx="4">
                  <c:v>3.0000000000000027E-2</c:v>
                </c:pt>
                <c:pt idx="5">
                  <c:v>2.0000000000000018E-2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3FE-944F-8991-707BF86E6CEB}"/>
            </c:ext>
          </c:extLst>
        </c:ser>
        <c:ser>
          <c:idx val="9"/>
          <c:order val="9"/>
          <c:tx>
            <c:strRef>
              <c:f>poutre!$Y$12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poutre!$Z$12:$AE$12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3FE-944F-8991-707BF86E6CEB}"/>
            </c:ext>
          </c:extLst>
        </c:ser>
        <c:ser>
          <c:idx val="10"/>
          <c:order val="10"/>
          <c:tx>
            <c:strRef>
              <c:f>poutre!$Y$13</c:f>
              <c:strCache>
                <c:ptCount val="1"/>
                <c:pt idx="0">
                  <c:v>M_a2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poutre!$Z$13:$AE$13</c:f>
              <c:numCache>
                <c:formatCode>General</c:formatCode>
                <c:ptCount val="6"/>
                <c:pt idx="0">
                  <c:v>0</c:v>
                </c:pt>
                <c:pt idx="1">
                  <c:v>7.999999999999996E-2</c:v>
                </c:pt>
                <c:pt idx="2">
                  <c:v>0.18000000000000005</c:v>
                </c:pt>
                <c:pt idx="3">
                  <c:v>0.24</c:v>
                </c:pt>
                <c:pt idx="4">
                  <c:v>0.26</c:v>
                </c:pt>
                <c:pt idx="5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3FE-944F-8991-707BF86E6CEB}"/>
            </c:ext>
          </c:extLst>
        </c:ser>
        <c:ser>
          <c:idx val="11"/>
          <c:order val="11"/>
          <c:tx>
            <c:strRef>
              <c:f>poutre!$Y$14</c:f>
              <c:strCache>
                <c:ptCount val="1"/>
                <c:pt idx="0">
                  <c:v>M_a3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poutre!$Z$14:$AE$14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1.0000000000000009E-2</c:v>
                </c:pt>
                <c:pt idx="3">
                  <c:v>3.0000000000000027E-2</c:v>
                </c:pt>
                <c:pt idx="4">
                  <c:v>5.0000000000000044E-2</c:v>
                </c:pt>
                <c:pt idx="5">
                  <c:v>6.9999999999999951E-2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3FE-944F-8991-707BF86E6CEB}"/>
            </c:ext>
          </c:extLst>
        </c:ser>
        <c:ser>
          <c:idx val="12"/>
          <c:order val="12"/>
          <c:tx>
            <c:strRef>
              <c:f>poutre!$Y$15</c:f>
              <c:strCache>
                <c:ptCount val="1"/>
                <c:pt idx="0">
                  <c:v>M_a4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poutre!$Z$15:$AE$15</c:f>
              <c:numCache>
                <c:formatCode>General</c:formatCode>
                <c:ptCount val="6"/>
                <c:pt idx="0">
                  <c:v>0</c:v>
                </c:pt>
                <c:pt idx="1">
                  <c:v>-1.0000000000000009E-2</c:v>
                </c:pt>
                <c:pt idx="2">
                  <c:v>-1.0000000000000009E-2</c:v>
                </c:pt>
                <c:pt idx="3">
                  <c:v>-1.0000000000000009E-2</c:v>
                </c:pt>
                <c:pt idx="4">
                  <c:v>0</c:v>
                </c:pt>
                <c:pt idx="5">
                  <c:v>-1.0000000000000009E-2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3FE-944F-8991-707BF86E6CEB}"/>
            </c:ext>
          </c:extLst>
        </c:ser>
        <c:ser>
          <c:idx val="13"/>
          <c:order val="13"/>
          <c:tx>
            <c:strRef>
              <c:f>poutre!$Y$16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poutre!$Z$16:$AE$16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3FE-944F-8991-707BF86E6CEB}"/>
            </c:ext>
          </c:extLst>
        </c:ser>
        <c:ser>
          <c:idx val="14"/>
          <c:order val="14"/>
          <c:tx>
            <c:strRef>
              <c:f>poutre!$Y$17</c:f>
              <c:strCache>
                <c:ptCount val="1"/>
                <c:pt idx="0">
                  <c:v>M_c2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poutre!$Z$17:$AE$17</c:f>
              <c:numCache>
                <c:formatCode>General</c:formatCode>
                <c:ptCount val="6"/>
                <c:pt idx="0">
                  <c:v>0</c:v>
                </c:pt>
                <c:pt idx="1">
                  <c:v>-1.0000000000000009E-2</c:v>
                </c:pt>
                <c:pt idx="2">
                  <c:v>-1.0000000000000009E-2</c:v>
                </c:pt>
                <c:pt idx="3">
                  <c:v>-1.0000000000000009E-2</c:v>
                </c:pt>
                <c:pt idx="4">
                  <c:v>-1.0000000000000009E-2</c:v>
                </c:pt>
                <c:pt idx="5">
                  <c:v>-1.0000000000000009E-2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3FE-944F-8991-707BF86E6CEB}"/>
            </c:ext>
          </c:extLst>
        </c:ser>
        <c:ser>
          <c:idx val="15"/>
          <c:order val="15"/>
          <c:tx>
            <c:strRef>
              <c:f>poutre!$Y$18</c:f>
              <c:strCache>
                <c:ptCount val="1"/>
                <c:pt idx="0">
                  <c:v>M_c3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poutre!$Z$18:$AE$18</c:f>
              <c:numCache>
                <c:formatCode>General</c:formatCode>
                <c:ptCount val="6"/>
                <c:pt idx="0">
                  <c:v>0</c:v>
                </c:pt>
                <c:pt idx="1">
                  <c:v>-1.0000000000000009E-2</c:v>
                </c:pt>
                <c:pt idx="2">
                  <c:v>-1.0000000000000009E-2</c:v>
                </c:pt>
                <c:pt idx="3">
                  <c:v>-1.0000000000000009E-2</c:v>
                </c:pt>
                <c:pt idx="4">
                  <c:v>-1.0000000000000009E-2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3FE-944F-8991-707BF86E6CEB}"/>
            </c:ext>
          </c:extLst>
        </c:ser>
        <c:ser>
          <c:idx val="16"/>
          <c:order val="16"/>
          <c:tx>
            <c:strRef>
              <c:f>poutre!$Y$19</c:f>
              <c:strCache>
                <c:ptCount val="1"/>
                <c:pt idx="0">
                  <c:v>M_c4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poutre!$Z$19:$AE$19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-1.0000000000000009E-2</c:v>
                </c:pt>
                <c:pt idx="3">
                  <c:v>0</c:v>
                </c:pt>
                <c:pt idx="4">
                  <c:v>-1.0000000000000009E-2</c:v>
                </c:pt>
                <c:pt idx="5">
                  <c:v>-1.0000000000000009E-2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3FE-944F-8991-707BF86E6CEB}"/>
            </c:ext>
          </c:extLst>
        </c:ser>
        <c:ser>
          <c:idx val="17"/>
          <c:order val="17"/>
          <c:tx>
            <c:strRef>
              <c:f>poutre!$Y$20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poutre!$Z$20:$AE$20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3FE-944F-8991-707BF86E6CEB}"/>
            </c:ext>
          </c:extLst>
        </c:ser>
        <c:ser>
          <c:idx val="18"/>
          <c:order val="18"/>
          <c:tx>
            <c:strRef>
              <c:f>poutre!$Y$21</c:f>
              <c:strCache>
                <c:ptCount val="1"/>
                <c:pt idx="0">
                  <c:v>M_b2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poutre!$Z$21:$AE$21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1.0000000000000009E-2</c:v>
                </c:pt>
                <c:pt idx="3">
                  <c:v>-1.0000000000000009E-2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3FE-944F-8991-707BF86E6CEB}"/>
            </c:ext>
          </c:extLst>
        </c:ser>
        <c:ser>
          <c:idx val="19"/>
          <c:order val="19"/>
          <c:tx>
            <c:strRef>
              <c:f>poutre!$Y$22</c:f>
              <c:strCache>
                <c:ptCount val="1"/>
                <c:pt idx="0">
                  <c:v>M_b3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poutre!$Z$22:$AE$22</c:f>
              <c:numCache>
                <c:formatCode>General</c:formatCode>
                <c:ptCount val="6"/>
                <c:pt idx="0">
                  <c:v>0</c:v>
                </c:pt>
                <c:pt idx="1">
                  <c:v>-1.0000000000000009E-2</c:v>
                </c:pt>
                <c:pt idx="2">
                  <c:v>1.0000000000000009E-2</c:v>
                </c:pt>
                <c:pt idx="3">
                  <c:v>0</c:v>
                </c:pt>
                <c:pt idx="4">
                  <c:v>0.39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3FE-944F-8991-707BF86E6CEB}"/>
            </c:ext>
          </c:extLst>
        </c:ser>
        <c:ser>
          <c:idx val="20"/>
          <c:order val="20"/>
          <c:tx>
            <c:strRef>
              <c:f>poutre!$Y$23</c:f>
              <c:strCache>
                <c:ptCount val="1"/>
                <c:pt idx="0">
                  <c:v>M_b4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poutre!$Z$23:$AE$23</c:f>
              <c:numCache>
                <c:formatCode>General</c:formatCode>
                <c:ptCount val="6"/>
                <c:pt idx="0">
                  <c:v>0</c:v>
                </c:pt>
                <c:pt idx="1">
                  <c:v>-2.0000000000000018E-2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-1.0000000000000009E-2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3FE-944F-8991-707BF86E6CEB}"/>
            </c:ext>
          </c:extLst>
        </c:ser>
        <c:ser>
          <c:idx val="21"/>
          <c:order val="21"/>
          <c:tx>
            <c:strRef>
              <c:f>poutre!$Y$24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poutre!$Z$24:$AE$24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3FE-944F-8991-707BF86E6CEB}"/>
            </c:ext>
          </c:extLst>
        </c:ser>
        <c:ser>
          <c:idx val="22"/>
          <c:order val="22"/>
          <c:tx>
            <c:strRef>
              <c:f>poutre!$Y$25</c:f>
              <c:strCache>
                <c:ptCount val="1"/>
                <c:pt idx="0">
                  <c:v>S_b2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poutre!$Z$25:$AE$25</c:f>
              <c:numCache>
                <c:formatCode>General</c:formatCode>
                <c:ptCount val="6"/>
                <c:pt idx="0">
                  <c:v>0</c:v>
                </c:pt>
                <c:pt idx="1">
                  <c:v>2.0000000000000018E-2</c:v>
                </c:pt>
                <c:pt idx="2">
                  <c:v>0.20999999999999996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3FE-944F-8991-707BF86E6CEB}"/>
            </c:ext>
          </c:extLst>
        </c:ser>
        <c:ser>
          <c:idx val="23"/>
          <c:order val="23"/>
          <c:tx>
            <c:strRef>
              <c:f>poutre!$Y$26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poutre!$Z$26:$AE$26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3FE-944F-8991-707BF86E6CEB}"/>
            </c:ext>
          </c:extLst>
        </c:ser>
        <c:ser>
          <c:idx val="24"/>
          <c:order val="24"/>
          <c:tx>
            <c:strRef>
              <c:f>poutre!$Y$27</c:f>
              <c:strCache>
                <c:ptCount val="1"/>
                <c:pt idx="0">
                  <c:v>S_d2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poutre!$Z$27:$AE$27</c:f>
              <c:numCache>
                <c:formatCode>General</c:formatCode>
                <c:ptCount val="6"/>
                <c:pt idx="0">
                  <c:v>0</c:v>
                </c:pt>
                <c:pt idx="1">
                  <c:v>3.0000000000000027E-2</c:v>
                </c:pt>
                <c:pt idx="2">
                  <c:v>2.0000000000000018E-2</c:v>
                </c:pt>
                <c:pt idx="3">
                  <c:v>2.0000000000000018E-2</c:v>
                </c:pt>
                <c:pt idx="4">
                  <c:v>7.999999999999996E-2</c:v>
                </c:pt>
                <c:pt idx="5">
                  <c:v>0.72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3FE-944F-8991-707BF86E6CEB}"/>
            </c:ext>
          </c:extLst>
        </c:ser>
        <c:ser>
          <c:idx val="25"/>
          <c:order val="25"/>
          <c:tx>
            <c:strRef>
              <c:f>poutre!$Y$28</c:f>
              <c:strCache>
                <c:ptCount val="1"/>
                <c:pt idx="0">
                  <c:v>S_d3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poutre!$Z$28:$AE$28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2.0000000000000018E-2</c:v>
                </c:pt>
                <c:pt idx="3">
                  <c:v>0.25</c:v>
                </c:pt>
                <c:pt idx="4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3FE-944F-8991-707BF86E6CEB}"/>
            </c:ext>
          </c:extLst>
        </c:ser>
        <c:ser>
          <c:idx val="26"/>
          <c:order val="26"/>
          <c:tx>
            <c:strRef>
              <c:f>poutre!$Y$29</c:f>
              <c:strCache>
                <c:ptCount val="1"/>
                <c:pt idx="0">
                  <c:v>S_d4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multiLvlStrRef>
              <c:f>poutre!$Z$1:$AE$2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poutre!$Z$29:$AE$29</c:f>
              <c:numCache>
                <c:formatCode>General</c:formatCode>
                <c:ptCount val="6"/>
                <c:pt idx="0">
                  <c:v>0</c:v>
                </c:pt>
                <c:pt idx="1">
                  <c:v>2.0000000000000018E-2</c:v>
                </c:pt>
                <c:pt idx="2">
                  <c:v>4.0000000000000036E-2</c:v>
                </c:pt>
                <c:pt idx="3">
                  <c:v>0.26</c:v>
                </c:pt>
                <c:pt idx="4">
                  <c:v>0.72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3FE-944F-8991-707BF86E6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11616"/>
        <c:axId val="167818192"/>
      </c:scatterChart>
      <c:valAx>
        <c:axId val="16781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18192"/>
        <c:crosses val="autoZero"/>
        <c:crossBetween val="midCat"/>
      </c:valAx>
      <c:valAx>
        <c:axId val="16781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11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poutre!$AG$3</c:f>
              <c:strCache>
                <c:ptCount val="1"/>
                <c:pt idx="0">
                  <c:v>L_a2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poutre!$AH$3:$AM$3</c:f>
              <c:numCache>
                <c:formatCode>General</c:formatCode>
                <c:ptCount val="6"/>
                <c:pt idx="0">
                  <c:v>59.84</c:v>
                </c:pt>
                <c:pt idx="1">
                  <c:v>49.75</c:v>
                </c:pt>
                <c:pt idx="2">
                  <c:v>31.68</c:v>
                </c:pt>
                <c:pt idx="3">
                  <c:v>53.97</c:v>
                </c:pt>
                <c:pt idx="4">
                  <c:v>37.85</c:v>
                </c:pt>
                <c:pt idx="5">
                  <c:v>48.7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BE-AE42-B880-DF5E2D284861}"/>
            </c:ext>
          </c:extLst>
        </c:ser>
        <c:ser>
          <c:idx val="1"/>
          <c:order val="1"/>
          <c:tx>
            <c:strRef>
              <c:f>poutre!$AG$4</c:f>
              <c:strCache>
                <c:ptCount val="1"/>
                <c:pt idx="0">
                  <c:v>L_a3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poutre!$AH$4:$AM$4</c:f>
              <c:numCache>
                <c:formatCode>General</c:formatCode>
                <c:ptCount val="6"/>
                <c:pt idx="0">
                  <c:v>58.08</c:v>
                </c:pt>
                <c:pt idx="1">
                  <c:v>39.22</c:v>
                </c:pt>
                <c:pt idx="2">
                  <c:v>57.47</c:v>
                </c:pt>
                <c:pt idx="3">
                  <c:v>59.73</c:v>
                </c:pt>
                <c:pt idx="4">
                  <c:v>37.159999999999997</c:v>
                </c:pt>
                <c:pt idx="5">
                  <c:v>56.76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BE-AE42-B880-DF5E2D284861}"/>
            </c:ext>
          </c:extLst>
        </c:ser>
        <c:ser>
          <c:idx val="2"/>
          <c:order val="2"/>
          <c:tx>
            <c:strRef>
              <c:f>poutre!$AG$5</c:f>
              <c:strCache>
                <c:ptCount val="1"/>
                <c:pt idx="0">
                  <c:v>L_a4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poutre!$AH$5:$AM$5</c:f>
              <c:numCache>
                <c:formatCode>General</c:formatCode>
                <c:ptCount val="6"/>
                <c:pt idx="0">
                  <c:v>47.94</c:v>
                </c:pt>
                <c:pt idx="1">
                  <c:v>43.24</c:v>
                </c:pt>
                <c:pt idx="2">
                  <c:v>37.369999999999997</c:v>
                </c:pt>
                <c:pt idx="3">
                  <c:v>34.03</c:v>
                </c:pt>
                <c:pt idx="4">
                  <c:v>38.18</c:v>
                </c:pt>
                <c:pt idx="5">
                  <c:v>46.18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BE-AE42-B880-DF5E2D284861}"/>
            </c:ext>
          </c:extLst>
        </c:ser>
        <c:ser>
          <c:idx val="4"/>
          <c:order val="3"/>
          <c:tx>
            <c:strRef>
              <c:f>poutre!$AG$7</c:f>
              <c:strCache>
                <c:ptCount val="1"/>
                <c:pt idx="0">
                  <c:v>L_e2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poutre!$AH$7:$AM$7</c:f>
              <c:numCache>
                <c:formatCode>General</c:formatCode>
                <c:ptCount val="6"/>
                <c:pt idx="0">
                  <c:v>58.83</c:v>
                </c:pt>
                <c:pt idx="1">
                  <c:v>22.74</c:v>
                </c:pt>
                <c:pt idx="2">
                  <c:v>76.05</c:v>
                </c:pt>
                <c:pt idx="3">
                  <c:v>83.4</c:v>
                </c:pt>
                <c:pt idx="4">
                  <c:v>82.35</c:v>
                </c:pt>
                <c:pt idx="5">
                  <c:v>54.09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BE-AE42-B880-DF5E2D284861}"/>
            </c:ext>
          </c:extLst>
        </c:ser>
        <c:ser>
          <c:idx val="5"/>
          <c:order val="4"/>
          <c:tx>
            <c:strRef>
              <c:f>poutre!$AG$8</c:f>
              <c:strCache>
                <c:ptCount val="1"/>
                <c:pt idx="0">
                  <c:v>L_e3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poutre!$AH$8:$AM$8</c:f>
              <c:numCache>
                <c:formatCode>General</c:formatCode>
                <c:ptCount val="6"/>
                <c:pt idx="0">
                  <c:v>62.82</c:v>
                </c:pt>
                <c:pt idx="1">
                  <c:v>71.23</c:v>
                </c:pt>
                <c:pt idx="2">
                  <c:v>79.66</c:v>
                </c:pt>
                <c:pt idx="3">
                  <c:v>59.26</c:v>
                </c:pt>
                <c:pt idx="4">
                  <c:v>70.7</c:v>
                </c:pt>
                <c:pt idx="5">
                  <c:v>75.900000000000006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BE-AE42-B880-DF5E2D284861}"/>
            </c:ext>
          </c:extLst>
        </c:ser>
        <c:ser>
          <c:idx val="6"/>
          <c:order val="5"/>
          <c:tx>
            <c:strRef>
              <c:f>poutre!$AG$9</c:f>
              <c:strCache>
                <c:ptCount val="1"/>
                <c:pt idx="0">
                  <c:v>L_e4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poutre!$AH$9:$AM$9</c:f>
              <c:numCache>
                <c:formatCode>General</c:formatCode>
                <c:ptCount val="6"/>
                <c:pt idx="0">
                  <c:v>51.73</c:v>
                </c:pt>
                <c:pt idx="1">
                  <c:v>21.15</c:v>
                </c:pt>
                <c:pt idx="2">
                  <c:v>41.81</c:v>
                </c:pt>
                <c:pt idx="3">
                  <c:v>27.79</c:v>
                </c:pt>
                <c:pt idx="4">
                  <c:v>20.38</c:v>
                </c:pt>
                <c:pt idx="5">
                  <c:v>73.290000000000006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FBE-AE42-B880-DF5E2D284861}"/>
            </c:ext>
          </c:extLst>
        </c:ser>
        <c:ser>
          <c:idx val="8"/>
          <c:order val="6"/>
          <c:tx>
            <c:strRef>
              <c:f>poutre!$AG$11</c:f>
              <c:strCache>
                <c:ptCount val="1"/>
                <c:pt idx="0">
                  <c:v>L_b2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poutre!$AH$11:$AM$11</c:f>
              <c:numCache>
                <c:formatCode>General</c:formatCode>
                <c:ptCount val="6"/>
                <c:pt idx="0">
                  <c:v>82.37</c:v>
                </c:pt>
                <c:pt idx="1">
                  <c:v>46.6</c:v>
                </c:pt>
                <c:pt idx="2">
                  <c:v>24.65</c:v>
                </c:pt>
                <c:pt idx="3">
                  <c:v>74.73</c:v>
                </c:pt>
                <c:pt idx="4">
                  <c:v>34.9</c:v>
                </c:pt>
                <c:pt idx="5">
                  <c:v>67.010000000000005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FBE-AE42-B880-DF5E2D284861}"/>
            </c:ext>
          </c:extLst>
        </c:ser>
        <c:ser>
          <c:idx val="10"/>
          <c:order val="7"/>
          <c:tx>
            <c:strRef>
              <c:f>poutre!$AG$13</c:f>
              <c:strCache>
                <c:ptCount val="1"/>
                <c:pt idx="0">
                  <c:v>M_a2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poutre!$AH$13:$AM$13</c:f>
              <c:numCache>
                <c:formatCode>General</c:formatCode>
                <c:ptCount val="6"/>
                <c:pt idx="0">
                  <c:v>50.28</c:v>
                </c:pt>
                <c:pt idx="1">
                  <c:v>29.09</c:v>
                </c:pt>
                <c:pt idx="2">
                  <c:v>25.46</c:v>
                </c:pt>
                <c:pt idx="3">
                  <c:v>25.3</c:v>
                </c:pt>
                <c:pt idx="4">
                  <c:v>25.06</c:v>
                </c:pt>
                <c:pt idx="5">
                  <c:v>25.84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FBE-AE42-B880-DF5E2D284861}"/>
            </c:ext>
          </c:extLst>
        </c:ser>
        <c:ser>
          <c:idx val="11"/>
          <c:order val="8"/>
          <c:tx>
            <c:strRef>
              <c:f>poutre!$AG$14</c:f>
              <c:strCache>
                <c:ptCount val="1"/>
                <c:pt idx="0">
                  <c:v>M_a3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poutre!$AH$14:$AM$14</c:f>
              <c:numCache>
                <c:formatCode>General</c:formatCode>
                <c:ptCount val="6"/>
                <c:pt idx="0">
                  <c:v>84.53</c:v>
                </c:pt>
                <c:pt idx="1">
                  <c:v>58.83</c:v>
                </c:pt>
                <c:pt idx="2">
                  <c:v>66.430000000000007</c:v>
                </c:pt>
                <c:pt idx="3">
                  <c:v>47.57</c:v>
                </c:pt>
                <c:pt idx="4">
                  <c:v>60.6</c:v>
                </c:pt>
                <c:pt idx="5">
                  <c:v>70.89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FBE-AE42-B880-DF5E2D284861}"/>
            </c:ext>
          </c:extLst>
        </c:ser>
        <c:ser>
          <c:idx val="12"/>
          <c:order val="9"/>
          <c:tx>
            <c:strRef>
              <c:f>poutre!$AG$15</c:f>
              <c:strCache>
                <c:ptCount val="1"/>
                <c:pt idx="0">
                  <c:v>M_a4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poutre!$AH$15:$AM$15</c:f>
              <c:numCache>
                <c:formatCode>General</c:formatCode>
                <c:ptCount val="6"/>
                <c:pt idx="0">
                  <c:v>61.63</c:v>
                </c:pt>
                <c:pt idx="1">
                  <c:v>55.1</c:v>
                </c:pt>
                <c:pt idx="2">
                  <c:v>90.81</c:v>
                </c:pt>
                <c:pt idx="3">
                  <c:v>88.37</c:v>
                </c:pt>
                <c:pt idx="4">
                  <c:v>57.88</c:v>
                </c:pt>
                <c:pt idx="5">
                  <c:v>80.400000000000006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FBE-AE42-B880-DF5E2D284861}"/>
            </c:ext>
          </c:extLst>
        </c:ser>
        <c:ser>
          <c:idx val="14"/>
          <c:order val="10"/>
          <c:tx>
            <c:strRef>
              <c:f>poutre!$AG$17</c:f>
              <c:strCache>
                <c:ptCount val="1"/>
                <c:pt idx="0">
                  <c:v>M_c2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poutre!$AH$17:$AM$17</c:f>
              <c:numCache>
                <c:formatCode>General</c:formatCode>
                <c:ptCount val="6"/>
                <c:pt idx="0">
                  <c:v>99.48</c:v>
                </c:pt>
                <c:pt idx="1">
                  <c:v>103.09</c:v>
                </c:pt>
                <c:pt idx="2">
                  <c:v>62.55</c:v>
                </c:pt>
                <c:pt idx="3">
                  <c:v>104.1</c:v>
                </c:pt>
                <c:pt idx="4">
                  <c:v>89.88</c:v>
                </c:pt>
                <c:pt idx="5">
                  <c:v>67.56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FBE-AE42-B880-DF5E2D284861}"/>
            </c:ext>
          </c:extLst>
        </c:ser>
        <c:ser>
          <c:idx val="15"/>
          <c:order val="11"/>
          <c:tx>
            <c:strRef>
              <c:f>poutre!$AG$18</c:f>
              <c:strCache>
                <c:ptCount val="1"/>
                <c:pt idx="0">
                  <c:v>M_c3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poutre!$AH$18:$AM$18</c:f>
              <c:numCache>
                <c:formatCode>General</c:formatCode>
                <c:ptCount val="6"/>
                <c:pt idx="0">
                  <c:v>90.61</c:v>
                </c:pt>
                <c:pt idx="1">
                  <c:v>92.99</c:v>
                </c:pt>
                <c:pt idx="2">
                  <c:v>57.06</c:v>
                </c:pt>
                <c:pt idx="3">
                  <c:v>83.81</c:v>
                </c:pt>
                <c:pt idx="4">
                  <c:v>70.55</c:v>
                </c:pt>
                <c:pt idx="5">
                  <c:v>89.45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FBE-AE42-B880-DF5E2D284861}"/>
            </c:ext>
          </c:extLst>
        </c:ser>
        <c:ser>
          <c:idx val="16"/>
          <c:order val="12"/>
          <c:tx>
            <c:strRef>
              <c:f>poutre!$AG$19</c:f>
              <c:strCache>
                <c:ptCount val="1"/>
                <c:pt idx="0">
                  <c:v>M_c4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poutre!$AH$19:$AM$19</c:f>
              <c:numCache>
                <c:formatCode>General</c:formatCode>
                <c:ptCount val="6"/>
                <c:pt idx="0">
                  <c:v>88.35</c:v>
                </c:pt>
                <c:pt idx="1">
                  <c:v>65.680000000000007</c:v>
                </c:pt>
                <c:pt idx="2">
                  <c:v>50.79</c:v>
                </c:pt>
                <c:pt idx="3">
                  <c:v>107.95</c:v>
                </c:pt>
                <c:pt idx="4">
                  <c:v>96.92</c:v>
                </c:pt>
                <c:pt idx="5">
                  <c:v>43.27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FBE-AE42-B880-DF5E2D284861}"/>
            </c:ext>
          </c:extLst>
        </c:ser>
        <c:ser>
          <c:idx val="18"/>
          <c:order val="13"/>
          <c:tx>
            <c:strRef>
              <c:f>poutre!$AG$21</c:f>
              <c:strCache>
                <c:ptCount val="1"/>
                <c:pt idx="0">
                  <c:v>M_b2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poutre!$AH$21:$AM$21</c:f>
              <c:numCache>
                <c:formatCode>General</c:formatCode>
                <c:ptCount val="6"/>
                <c:pt idx="0">
                  <c:v>65.89</c:v>
                </c:pt>
                <c:pt idx="1">
                  <c:v>57.78</c:v>
                </c:pt>
                <c:pt idx="2">
                  <c:v>75.989999999999995</c:v>
                </c:pt>
                <c:pt idx="3">
                  <c:v>61.77</c:v>
                </c:pt>
                <c:pt idx="4">
                  <c:v>106.51</c:v>
                </c:pt>
                <c:pt idx="5">
                  <c:v>90.33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FBE-AE42-B880-DF5E2D284861}"/>
            </c:ext>
          </c:extLst>
        </c:ser>
        <c:ser>
          <c:idx val="19"/>
          <c:order val="14"/>
          <c:tx>
            <c:strRef>
              <c:f>poutre!$AG$22</c:f>
              <c:strCache>
                <c:ptCount val="1"/>
                <c:pt idx="0">
                  <c:v>M_b3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poutre!$AH$22:$AM$22</c:f>
              <c:numCache>
                <c:formatCode>General</c:formatCode>
                <c:ptCount val="6"/>
                <c:pt idx="0">
                  <c:v>69.02</c:v>
                </c:pt>
                <c:pt idx="1">
                  <c:v>68.150000000000006</c:v>
                </c:pt>
                <c:pt idx="2">
                  <c:v>55.09</c:v>
                </c:pt>
                <c:pt idx="3">
                  <c:v>63.84</c:v>
                </c:pt>
                <c:pt idx="4">
                  <c:v>10.39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FBE-AE42-B880-DF5E2D284861}"/>
            </c:ext>
          </c:extLst>
        </c:ser>
        <c:ser>
          <c:idx val="20"/>
          <c:order val="15"/>
          <c:tx>
            <c:strRef>
              <c:f>poutre!$AG$23</c:f>
              <c:strCache>
                <c:ptCount val="1"/>
                <c:pt idx="0">
                  <c:v>M_b4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poutre!$AH$23:$AM$23</c:f>
              <c:numCache>
                <c:formatCode>General</c:formatCode>
                <c:ptCount val="6"/>
                <c:pt idx="0">
                  <c:v>72.77</c:v>
                </c:pt>
                <c:pt idx="1">
                  <c:v>62.8</c:v>
                </c:pt>
                <c:pt idx="2">
                  <c:v>63.02</c:v>
                </c:pt>
                <c:pt idx="3">
                  <c:v>64.489999999999995</c:v>
                </c:pt>
                <c:pt idx="4">
                  <c:v>70.88</c:v>
                </c:pt>
                <c:pt idx="5">
                  <c:v>79.06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FBE-AE42-B880-DF5E2D284861}"/>
            </c:ext>
          </c:extLst>
        </c:ser>
        <c:ser>
          <c:idx val="22"/>
          <c:order val="16"/>
          <c:tx>
            <c:strRef>
              <c:f>poutre!$AG$25</c:f>
              <c:strCache>
                <c:ptCount val="1"/>
                <c:pt idx="0">
                  <c:v>S_b2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poutre!$AH$25:$AM$25</c:f>
              <c:numCache>
                <c:formatCode>General</c:formatCode>
                <c:ptCount val="6"/>
                <c:pt idx="0">
                  <c:v>53.27</c:v>
                </c:pt>
                <c:pt idx="1">
                  <c:v>37.57</c:v>
                </c:pt>
                <c:pt idx="2">
                  <c:v>30.58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6FBE-AE42-B880-DF5E2D284861}"/>
            </c:ext>
          </c:extLst>
        </c:ser>
        <c:ser>
          <c:idx val="24"/>
          <c:order val="17"/>
          <c:tx>
            <c:strRef>
              <c:f>poutre!$AG$27</c:f>
              <c:strCache>
                <c:ptCount val="1"/>
                <c:pt idx="0">
                  <c:v>S_d2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poutre!$AH$27:$AM$27</c:f>
              <c:numCache>
                <c:formatCode>General</c:formatCode>
                <c:ptCount val="6"/>
                <c:pt idx="0">
                  <c:v>34.01</c:v>
                </c:pt>
                <c:pt idx="1">
                  <c:v>61.6</c:v>
                </c:pt>
                <c:pt idx="2">
                  <c:v>29.46</c:v>
                </c:pt>
                <c:pt idx="3">
                  <c:v>33.17</c:v>
                </c:pt>
                <c:pt idx="4">
                  <c:v>24.24</c:v>
                </c:pt>
                <c:pt idx="5">
                  <c:v>10.08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6FBE-AE42-B880-DF5E2D284861}"/>
            </c:ext>
          </c:extLst>
        </c:ser>
        <c:ser>
          <c:idx val="25"/>
          <c:order val="18"/>
          <c:tx>
            <c:strRef>
              <c:f>poutre!$AG$28</c:f>
              <c:strCache>
                <c:ptCount val="1"/>
                <c:pt idx="0">
                  <c:v>S_d3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poutre!$AH$28:$AM$28</c:f>
              <c:numCache>
                <c:formatCode>General</c:formatCode>
                <c:ptCount val="6"/>
                <c:pt idx="0">
                  <c:v>35.19</c:v>
                </c:pt>
                <c:pt idx="1">
                  <c:v>39.43</c:v>
                </c:pt>
                <c:pt idx="2">
                  <c:v>33.04</c:v>
                </c:pt>
                <c:pt idx="3">
                  <c:v>23.12</c:v>
                </c:pt>
                <c:pt idx="4">
                  <c:v>7.24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6FBE-AE42-B880-DF5E2D284861}"/>
            </c:ext>
          </c:extLst>
        </c:ser>
        <c:ser>
          <c:idx val="26"/>
          <c:order val="19"/>
          <c:tx>
            <c:strRef>
              <c:f>poutre!$AG$29</c:f>
              <c:strCache>
                <c:ptCount val="1"/>
                <c:pt idx="0">
                  <c:v>S_d4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multiLvlStrRef>
              <c:f>poutre!$AH$1:$AM$2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poutre!$AH$29:$AM$29</c:f>
              <c:numCache>
                <c:formatCode>General</c:formatCode>
                <c:ptCount val="6"/>
                <c:pt idx="0">
                  <c:v>46.9</c:v>
                </c:pt>
                <c:pt idx="1">
                  <c:v>35.56</c:v>
                </c:pt>
                <c:pt idx="2">
                  <c:v>26.92</c:v>
                </c:pt>
                <c:pt idx="3">
                  <c:v>25.77</c:v>
                </c:pt>
                <c:pt idx="4">
                  <c:v>21.46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6FBE-AE42-B880-DF5E2D284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516144"/>
        <c:axId val="1243141648"/>
      </c:scatterChart>
      <c:valAx>
        <c:axId val="123351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141648"/>
        <c:crosses val="autoZero"/>
        <c:crossBetween val="midCat"/>
      </c:valAx>
      <c:valAx>
        <c:axId val="124314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516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Damping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poutre!$Q$3</c:f>
              <c:strCache>
                <c:ptCount val="1"/>
                <c:pt idx="0">
                  <c:v>L_a2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poutre!$R$3:$W$3</c:f>
              <c:numCache>
                <c:formatCode>General</c:formatCode>
                <c:ptCount val="6"/>
                <c:pt idx="0">
                  <c:v>0.83560000000000001</c:v>
                </c:pt>
                <c:pt idx="1">
                  <c:v>1.0049999999999999</c:v>
                </c:pt>
                <c:pt idx="2">
                  <c:v>1.578462</c:v>
                </c:pt>
                <c:pt idx="3">
                  <c:v>0.92648299999999995</c:v>
                </c:pt>
                <c:pt idx="4">
                  <c:v>1.320972</c:v>
                </c:pt>
                <c:pt idx="5">
                  <c:v>1.0266519999999999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8E-B448-A248-9119E098209E}"/>
            </c:ext>
          </c:extLst>
        </c:ser>
        <c:ser>
          <c:idx val="1"/>
          <c:order val="1"/>
          <c:tx>
            <c:strRef>
              <c:f>poutre!$Q$4</c:f>
              <c:strCache>
                <c:ptCount val="1"/>
                <c:pt idx="0">
                  <c:v>L_a3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poutre!$R$4:$W$4</c:f>
              <c:numCache>
                <c:formatCode>General</c:formatCode>
                <c:ptCount val="6"/>
                <c:pt idx="0">
                  <c:v>0.8609</c:v>
                </c:pt>
                <c:pt idx="1">
                  <c:v>1.2749999999999999</c:v>
                </c:pt>
                <c:pt idx="2">
                  <c:v>0.87</c:v>
                </c:pt>
                <c:pt idx="3">
                  <c:v>0.837032</c:v>
                </c:pt>
                <c:pt idx="4">
                  <c:v>1.345515</c:v>
                </c:pt>
                <c:pt idx="5">
                  <c:v>0.88085899999999995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8E-B448-A248-9119E098209E}"/>
            </c:ext>
          </c:extLst>
        </c:ser>
        <c:ser>
          <c:idx val="2"/>
          <c:order val="2"/>
          <c:tx>
            <c:strRef>
              <c:f>poutre!$Q$5</c:f>
              <c:strCache>
                <c:ptCount val="1"/>
                <c:pt idx="0">
                  <c:v>L_a4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poutre!$R$5:$W$5</c:f>
              <c:numCache>
                <c:formatCode>General</c:formatCode>
                <c:ptCount val="6"/>
                <c:pt idx="0">
                  <c:v>1.0429999999999999</c:v>
                </c:pt>
                <c:pt idx="1">
                  <c:v>1.1562239999999999</c:v>
                </c:pt>
                <c:pt idx="2">
                  <c:v>1.3380000000000001</c:v>
                </c:pt>
                <c:pt idx="3">
                  <c:v>1.469082</c:v>
                </c:pt>
                <c:pt idx="4">
                  <c:v>1.309615</c:v>
                </c:pt>
                <c:pt idx="5">
                  <c:v>1.08274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8E-B448-A248-9119E098209E}"/>
            </c:ext>
          </c:extLst>
        </c:ser>
        <c:ser>
          <c:idx val="4"/>
          <c:order val="3"/>
          <c:tx>
            <c:strRef>
              <c:f>poutre!$Q$7</c:f>
              <c:strCache>
                <c:ptCount val="1"/>
                <c:pt idx="0">
                  <c:v>L_e2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poutre!$R$7:$W$7</c:f>
              <c:numCache>
                <c:formatCode>General</c:formatCode>
                <c:ptCount val="6"/>
                <c:pt idx="0">
                  <c:v>0.84989999999999999</c:v>
                </c:pt>
                <c:pt idx="1">
                  <c:v>2.1989999999999998</c:v>
                </c:pt>
                <c:pt idx="2">
                  <c:v>0.65749999999999997</c:v>
                </c:pt>
                <c:pt idx="3">
                  <c:v>0.59953699999999999</c:v>
                </c:pt>
                <c:pt idx="4">
                  <c:v>0.60717600000000005</c:v>
                </c:pt>
                <c:pt idx="5">
                  <c:v>0.92446200000000001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8E-B448-A248-9119E098209E}"/>
            </c:ext>
          </c:extLst>
        </c:ser>
        <c:ser>
          <c:idx val="5"/>
          <c:order val="4"/>
          <c:tx>
            <c:strRef>
              <c:f>poutre!$Q$8</c:f>
              <c:strCache>
                <c:ptCount val="1"/>
                <c:pt idx="0">
                  <c:v>L_e3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poutre!$R$8:$W$8</c:f>
              <c:numCache>
                <c:formatCode>General</c:formatCode>
                <c:ptCount val="6"/>
                <c:pt idx="0">
                  <c:v>0.79590000000000005</c:v>
                </c:pt>
                <c:pt idx="1">
                  <c:v>0.70199999999999996</c:v>
                </c:pt>
                <c:pt idx="2">
                  <c:v>0.62769200000000003</c:v>
                </c:pt>
                <c:pt idx="3">
                  <c:v>0.84367300000000001</c:v>
                </c:pt>
                <c:pt idx="4">
                  <c:v>0.70721800000000001</c:v>
                </c:pt>
                <c:pt idx="5">
                  <c:v>0.65878099999999995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98E-B448-A248-9119E098209E}"/>
            </c:ext>
          </c:extLst>
        </c:ser>
        <c:ser>
          <c:idx val="6"/>
          <c:order val="5"/>
          <c:tx>
            <c:strRef>
              <c:f>poutre!$Q$9</c:f>
              <c:strCache>
                <c:ptCount val="1"/>
                <c:pt idx="0">
                  <c:v>L_e4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poutre!$R$9:$W$9</c:f>
              <c:numCache>
                <c:formatCode>General</c:formatCode>
                <c:ptCount val="6"/>
                <c:pt idx="0">
                  <c:v>0.96656900000000001</c:v>
                </c:pt>
                <c:pt idx="1">
                  <c:v>2.3635510000000002</c:v>
                </c:pt>
                <c:pt idx="2">
                  <c:v>1.196</c:v>
                </c:pt>
                <c:pt idx="3">
                  <c:v>1.7989599999999999</c:v>
                </c:pt>
                <c:pt idx="4">
                  <c:v>2.453017</c:v>
                </c:pt>
                <c:pt idx="5">
                  <c:v>0.682226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98E-B448-A248-9119E098209E}"/>
            </c:ext>
          </c:extLst>
        </c:ser>
        <c:ser>
          <c:idx val="8"/>
          <c:order val="6"/>
          <c:tx>
            <c:strRef>
              <c:f>poutre!$Q$11</c:f>
              <c:strCache>
                <c:ptCount val="1"/>
                <c:pt idx="0">
                  <c:v>L_b2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poutre!$R$11:$W$11</c:f>
              <c:numCache>
                <c:formatCode>General</c:formatCode>
                <c:ptCount val="6"/>
                <c:pt idx="0">
                  <c:v>0.60699999999999998</c:v>
                </c:pt>
                <c:pt idx="1">
                  <c:v>1.073</c:v>
                </c:pt>
                <c:pt idx="2">
                  <c:v>2.028</c:v>
                </c:pt>
                <c:pt idx="3">
                  <c:v>0.66903299999999999</c:v>
                </c:pt>
                <c:pt idx="4">
                  <c:v>1.432763</c:v>
                </c:pt>
                <c:pt idx="5">
                  <c:v>0.74619599999999997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98E-B448-A248-9119E098209E}"/>
            </c:ext>
          </c:extLst>
        </c:ser>
        <c:ser>
          <c:idx val="10"/>
          <c:order val="7"/>
          <c:tx>
            <c:strRef>
              <c:f>poutre!$Q$13</c:f>
              <c:strCache>
                <c:ptCount val="1"/>
                <c:pt idx="0">
                  <c:v>M_a2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poutre!$R$13:$W$13</c:f>
              <c:numCache>
                <c:formatCode>General</c:formatCode>
                <c:ptCount val="6"/>
                <c:pt idx="0">
                  <c:v>0.99450000000000005</c:v>
                </c:pt>
                <c:pt idx="1">
                  <c:v>1.7190000000000001</c:v>
                </c:pt>
                <c:pt idx="2">
                  <c:v>1.964</c:v>
                </c:pt>
                <c:pt idx="3">
                  <c:v>1.975989</c:v>
                </c:pt>
                <c:pt idx="4">
                  <c:v>1.9954259999999999</c:v>
                </c:pt>
                <c:pt idx="5">
                  <c:v>1.935203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98E-B448-A248-9119E098209E}"/>
            </c:ext>
          </c:extLst>
        </c:ser>
        <c:ser>
          <c:idx val="11"/>
          <c:order val="8"/>
          <c:tx>
            <c:strRef>
              <c:f>poutre!$Q$14</c:f>
              <c:strCache>
                <c:ptCount val="1"/>
                <c:pt idx="0">
                  <c:v>M_a3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poutre!$R$14:$W$14</c:f>
              <c:numCache>
                <c:formatCode>General</c:formatCode>
                <c:ptCount val="6"/>
                <c:pt idx="0">
                  <c:v>0.59150000000000003</c:v>
                </c:pt>
                <c:pt idx="1">
                  <c:v>0.84989999999999999</c:v>
                </c:pt>
                <c:pt idx="2">
                  <c:v>0.75270000000000004</c:v>
                </c:pt>
                <c:pt idx="3">
                  <c:v>1.0509850000000001</c:v>
                </c:pt>
                <c:pt idx="4">
                  <c:v>0.82505300000000004</c:v>
                </c:pt>
                <c:pt idx="5">
                  <c:v>0.70533000000000001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98E-B448-A248-9119E098209E}"/>
            </c:ext>
          </c:extLst>
        </c:ser>
        <c:ser>
          <c:idx val="12"/>
          <c:order val="9"/>
          <c:tx>
            <c:strRef>
              <c:f>poutre!$Q$15</c:f>
              <c:strCache>
                <c:ptCount val="1"/>
                <c:pt idx="0">
                  <c:v>M_a4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poutre!$R$15:$W$15</c:f>
              <c:numCache>
                <c:formatCode>General</c:formatCode>
                <c:ptCount val="6"/>
                <c:pt idx="0">
                  <c:v>0.81130000000000002</c:v>
                </c:pt>
                <c:pt idx="1">
                  <c:v>0.90739999999999998</c:v>
                </c:pt>
                <c:pt idx="2">
                  <c:v>0.55059999999999998</c:v>
                </c:pt>
                <c:pt idx="3">
                  <c:v>0.56581499999999996</c:v>
                </c:pt>
                <c:pt idx="4">
                  <c:v>0.863815</c:v>
                </c:pt>
                <c:pt idx="5">
                  <c:v>0.621888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98E-B448-A248-9119E098209E}"/>
            </c:ext>
          </c:extLst>
        </c:ser>
        <c:ser>
          <c:idx val="14"/>
          <c:order val="10"/>
          <c:tx>
            <c:strRef>
              <c:f>poutre!$Q$17</c:f>
              <c:strCache>
                <c:ptCount val="1"/>
                <c:pt idx="0">
                  <c:v>M_c2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poutre!$R$17:$W$17</c:f>
              <c:numCache>
                <c:formatCode>General</c:formatCode>
                <c:ptCount val="6"/>
                <c:pt idx="0">
                  <c:v>0.50260000000000005</c:v>
                </c:pt>
                <c:pt idx="1">
                  <c:v>0.48499999999999999</c:v>
                </c:pt>
                <c:pt idx="2">
                  <c:v>0.7994</c:v>
                </c:pt>
                <c:pt idx="3">
                  <c:v>0.48032200000000003</c:v>
                </c:pt>
                <c:pt idx="4">
                  <c:v>0.55628699999999998</c:v>
                </c:pt>
                <c:pt idx="5">
                  <c:v>0.74008600000000002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98E-B448-A248-9119E098209E}"/>
            </c:ext>
          </c:extLst>
        </c:ser>
        <c:ser>
          <c:idx val="15"/>
          <c:order val="11"/>
          <c:tx>
            <c:strRef>
              <c:f>poutre!$Q$18</c:f>
              <c:strCache>
                <c:ptCount val="1"/>
                <c:pt idx="0">
                  <c:v>M_c3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poutre!$R$18:$W$18</c:f>
              <c:numCache>
                <c:formatCode>General</c:formatCode>
                <c:ptCount val="6"/>
                <c:pt idx="0">
                  <c:v>0.55179999999999996</c:v>
                </c:pt>
                <c:pt idx="1">
                  <c:v>0.53769999999999996</c:v>
                </c:pt>
                <c:pt idx="2">
                  <c:v>0.87629000000000001</c:v>
                </c:pt>
                <c:pt idx="3">
                  <c:v>0.59660299999999999</c:v>
                </c:pt>
                <c:pt idx="4">
                  <c:v>0.70876600000000001</c:v>
                </c:pt>
                <c:pt idx="5">
                  <c:v>0.55899799999999999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98E-B448-A248-9119E098209E}"/>
            </c:ext>
          </c:extLst>
        </c:ser>
        <c:ser>
          <c:idx val="16"/>
          <c:order val="12"/>
          <c:tx>
            <c:strRef>
              <c:f>poutre!$Q$19</c:f>
              <c:strCache>
                <c:ptCount val="1"/>
                <c:pt idx="0">
                  <c:v>M_c4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poutre!$R$19:$W$19</c:f>
              <c:numCache>
                <c:formatCode>General</c:formatCode>
                <c:ptCount val="6"/>
                <c:pt idx="0">
                  <c:v>0.56589999999999996</c:v>
                </c:pt>
                <c:pt idx="1">
                  <c:v>0.76129999999999998</c:v>
                </c:pt>
                <c:pt idx="2">
                  <c:v>0.98440000000000005</c:v>
                </c:pt>
                <c:pt idx="3">
                  <c:v>0.46316200000000002</c:v>
                </c:pt>
                <c:pt idx="4">
                  <c:v>0.51587899999999998</c:v>
                </c:pt>
                <c:pt idx="5">
                  <c:v>1.1555420000000001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98E-B448-A248-9119E098209E}"/>
            </c:ext>
          </c:extLst>
        </c:ser>
        <c:ser>
          <c:idx val="18"/>
          <c:order val="13"/>
          <c:tx>
            <c:strRef>
              <c:f>poutre!$Q$21</c:f>
              <c:strCache>
                <c:ptCount val="1"/>
                <c:pt idx="0">
                  <c:v>M_b2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poutre!$R$21:$W$21</c:f>
              <c:numCache>
                <c:formatCode>General</c:formatCode>
                <c:ptCount val="6"/>
                <c:pt idx="0">
                  <c:v>0.75880000000000003</c:v>
                </c:pt>
                <c:pt idx="1">
                  <c:v>0.86529999999999996</c:v>
                </c:pt>
                <c:pt idx="2">
                  <c:v>0.65794299999999994</c:v>
                </c:pt>
                <c:pt idx="3">
                  <c:v>0.80949800000000005</c:v>
                </c:pt>
                <c:pt idx="4">
                  <c:v>0.469418</c:v>
                </c:pt>
                <c:pt idx="5">
                  <c:v>0.55355100000000002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98E-B448-A248-9119E098209E}"/>
            </c:ext>
          </c:extLst>
        </c:ser>
        <c:ser>
          <c:idx val="19"/>
          <c:order val="14"/>
          <c:tx>
            <c:strRef>
              <c:f>poutre!$Q$22</c:f>
              <c:strCache>
                <c:ptCount val="1"/>
                <c:pt idx="0">
                  <c:v>M_b3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poutre!$R$22:$W$22</c:f>
              <c:numCache>
                <c:formatCode>General</c:formatCode>
                <c:ptCount val="6"/>
                <c:pt idx="0">
                  <c:v>0.72440000000000004</c:v>
                </c:pt>
                <c:pt idx="1">
                  <c:v>0.73370000000000002</c:v>
                </c:pt>
                <c:pt idx="2">
                  <c:v>0.90759999999999996</c:v>
                </c:pt>
                <c:pt idx="3">
                  <c:v>0.78320000000000001</c:v>
                </c:pt>
                <c:pt idx="4">
                  <c:v>4.8109169999999999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98E-B448-A248-9119E098209E}"/>
            </c:ext>
          </c:extLst>
        </c:ser>
        <c:ser>
          <c:idx val="20"/>
          <c:order val="15"/>
          <c:tx>
            <c:strRef>
              <c:f>poutre!$Q$23</c:f>
              <c:strCache>
                <c:ptCount val="1"/>
                <c:pt idx="0">
                  <c:v>M_b4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poutre!$R$23:$W$23</c:f>
              <c:numCache>
                <c:formatCode>General</c:formatCode>
                <c:ptCount val="6"/>
                <c:pt idx="0">
                  <c:v>0.68709500000000001</c:v>
                </c:pt>
                <c:pt idx="1">
                  <c:v>0.79620000000000002</c:v>
                </c:pt>
                <c:pt idx="2">
                  <c:v>0.79344499999999996</c:v>
                </c:pt>
                <c:pt idx="3">
                  <c:v>0.77532199999999996</c:v>
                </c:pt>
                <c:pt idx="4">
                  <c:v>0.70536799999999999</c:v>
                </c:pt>
                <c:pt idx="5">
                  <c:v>0.63244699999999998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498E-B448-A248-9119E098209E}"/>
            </c:ext>
          </c:extLst>
        </c:ser>
        <c:ser>
          <c:idx val="22"/>
          <c:order val="16"/>
          <c:tx>
            <c:strRef>
              <c:f>poutre!$Q$25</c:f>
              <c:strCache>
                <c:ptCount val="1"/>
                <c:pt idx="0">
                  <c:v>S_b2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poutre!$R$25:$W$25</c:f>
              <c:numCache>
                <c:formatCode>General</c:formatCode>
                <c:ptCount val="6"/>
                <c:pt idx="0">
                  <c:v>0.93859999999999999</c:v>
                </c:pt>
                <c:pt idx="1">
                  <c:v>1.331</c:v>
                </c:pt>
                <c:pt idx="2">
                  <c:v>1.635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498E-B448-A248-9119E098209E}"/>
            </c:ext>
          </c:extLst>
        </c:ser>
        <c:ser>
          <c:idx val="24"/>
          <c:order val="17"/>
          <c:tx>
            <c:strRef>
              <c:f>poutre!$Q$27</c:f>
              <c:strCache>
                <c:ptCount val="1"/>
                <c:pt idx="0">
                  <c:v>S_d2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poutre!$R$27:$W$27</c:f>
              <c:numCache>
                <c:formatCode>General</c:formatCode>
                <c:ptCount val="6"/>
                <c:pt idx="0">
                  <c:v>1.47</c:v>
                </c:pt>
                <c:pt idx="1">
                  <c:v>0.81169999999999998</c:v>
                </c:pt>
                <c:pt idx="2">
                  <c:v>1.6970000000000001</c:v>
                </c:pt>
                <c:pt idx="3">
                  <c:v>1.5075689999999999</c:v>
                </c:pt>
                <c:pt idx="4">
                  <c:v>2.0629599999999999</c:v>
                </c:pt>
                <c:pt idx="5">
                  <c:v>4.9595719999999996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498E-B448-A248-9119E098209E}"/>
            </c:ext>
          </c:extLst>
        </c:ser>
        <c:ser>
          <c:idx val="25"/>
          <c:order val="18"/>
          <c:tx>
            <c:strRef>
              <c:f>poutre!$Q$28</c:f>
              <c:strCache>
                <c:ptCount val="1"/>
                <c:pt idx="0">
                  <c:v>S_d3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poutre!$R$28:$W$28</c:f>
              <c:numCache>
                <c:formatCode>General</c:formatCode>
                <c:ptCount val="6"/>
                <c:pt idx="0">
                  <c:v>1.421</c:v>
                </c:pt>
                <c:pt idx="1">
                  <c:v>1.268</c:v>
                </c:pt>
                <c:pt idx="2">
                  <c:v>1.5132909999999999</c:v>
                </c:pt>
                <c:pt idx="3">
                  <c:v>2.1624050000000001</c:v>
                </c:pt>
                <c:pt idx="4">
                  <c:v>6.9019389999999996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98E-B448-A248-9119E098209E}"/>
            </c:ext>
          </c:extLst>
        </c:ser>
        <c:ser>
          <c:idx val="26"/>
          <c:order val="19"/>
          <c:tx>
            <c:strRef>
              <c:f>poutre!$Q$29</c:f>
              <c:strCache>
                <c:ptCount val="1"/>
                <c:pt idx="0">
                  <c:v>S_d4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multiLvlStrRef>
              <c:f>poutre!$R$1:$W$2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poutre!$R$29:$W$29</c:f>
              <c:numCache>
                <c:formatCode>General</c:formatCode>
                <c:ptCount val="6"/>
                <c:pt idx="0">
                  <c:v>1.0660000000000001</c:v>
                </c:pt>
                <c:pt idx="1">
                  <c:v>1.4059999999999999</c:v>
                </c:pt>
                <c:pt idx="2">
                  <c:v>1.857229</c:v>
                </c:pt>
                <c:pt idx="3">
                  <c:v>1.940105</c:v>
                </c:pt>
                <c:pt idx="4">
                  <c:v>2.3301609999999999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498E-B448-A248-9119E0982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207423"/>
        <c:axId val="2138592719"/>
      </c:scatterChart>
      <c:valAx>
        <c:axId val="213720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92719"/>
        <c:crosses val="autoZero"/>
        <c:crossBetween val="midCat"/>
      </c:valAx>
      <c:valAx>
        <c:axId val="213859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20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Damage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plaque!$Y$3</c:f>
              <c:strCache>
                <c:ptCount val="1"/>
                <c:pt idx="0">
                  <c:v>L_a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plaque!$Z$1:$AE$2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plaque!$Z$3:$AE$3</c:f>
              <c:numCache>
                <c:formatCode>General</c:formatCode>
                <c:ptCount val="6"/>
                <c:pt idx="0">
                  <c:v>0</c:v>
                </c:pt>
                <c:pt idx="1">
                  <c:v>-3.0000000000000027E-2</c:v>
                </c:pt>
                <c:pt idx="2">
                  <c:v>0</c:v>
                </c:pt>
                <c:pt idx="3">
                  <c:v>5.0000000000000044E-2</c:v>
                </c:pt>
                <c:pt idx="4">
                  <c:v>6.9999999999999951E-2</c:v>
                </c:pt>
                <c:pt idx="5">
                  <c:v>6.9999999999999951E-2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5E-F64A-A870-652C89658C74}"/>
            </c:ext>
          </c:extLst>
        </c:ser>
        <c:ser>
          <c:idx val="1"/>
          <c:order val="1"/>
          <c:tx>
            <c:strRef>
              <c:f>plaque!$Y$4</c:f>
              <c:strCache>
                <c:ptCount val="1"/>
                <c:pt idx="0">
                  <c:v>L_b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plaque!$Z$1:$AE$2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plaque!$Z$4:$AE$4</c:f>
              <c:numCache>
                <c:formatCode>General</c:formatCode>
                <c:ptCount val="6"/>
                <c:pt idx="0">
                  <c:v>0</c:v>
                </c:pt>
                <c:pt idx="1">
                  <c:v>-2.0000000000000018E-2</c:v>
                </c:pt>
                <c:pt idx="2">
                  <c:v>0</c:v>
                </c:pt>
                <c:pt idx="3">
                  <c:v>2.0000000000000018E-2</c:v>
                </c:pt>
                <c:pt idx="4">
                  <c:v>3.0000000000000027E-2</c:v>
                </c:pt>
                <c:pt idx="5">
                  <c:v>3.0000000000000027E-2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5E-F64A-A870-652C89658C74}"/>
            </c:ext>
          </c:extLst>
        </c:ser>
        <c:ser>
          <c:idx val="2"/>
          <c:order val="2"/>
          <c:tx>
            <c:strRef>
              <c:f>plaque!$Y$5</c:f>
              <c:strCache>
                <c:ptCount val="1"/>
                <c:pt idx="0">
                  <c:v>L_e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plaque!$Z$1:$AE$2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plaque!$Z$5:$AE$5</c:f>
              <c:numCache>
                <c:formatCode>General</c:formatCode>
                <c:ptCount val="6"/>
                <c:pt idx="0">
                  <c:v>0</c:v>
                </c:pt>
                <c:pt idx="1">
                  <c:v>-2.0000000000000018E-2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3.0000000000000027E-2</c:v>
                </c:pt>
                <c:pt idx="5">
                  <c:v>2.0000000000000018E-2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5E-F64A-A870-652C89658C74}"/>
            </c:ext>
          </c:extLst>
        </c:ser>
        <c:ser>
          <c:idx val="3"/>
          <c:order val="3"/>
          <c:tx>
            <c:strRef>
              <c:f>plaque!$Y$6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multiLvlStrRef>
              <c:f>plaque!$Z$1:$AE$2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plaque!$Z$6:$AE$6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5E-F64A-A870-652C89658C74}"/>
            </c:ext>
          </c:extLst>
        </c:ser>
        <c:ser>
          <c:idx val="4"/>
          <c:order val="4"/>
          <c:tx>
            <c:strRef>
              <c:f>plaque!$Y$7</c:f>
              <c:strCache>
                <c:ptCount val="1"/>
                <c:pt idx="0">
                  <c:v>M_1a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multiLvlStrRef>
              <c:f>plaque!$Z$1:$AE$2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plaque!$Z$7:$AE$7</c:f>
              <c:numCache>
                <c:formatCode>General</c:formatCode>
                <c:ptCount val="6"/>
                <c:pt idx="0">
                  <c:v>0</c:v>
                </c:pt>
                <c:pt idx="1">
                  <c:v>1.0000000000000009E-2</c:v>
                </c:pt>
                <c:pt idx="2">
                  <c:v>4.0000000000000036E-2</c:v>
                </c:pt>
                <c:pt idx="3">
                  <c:v>4.0000000000000036E-2</c:v>
                </c:pt>
                <c:pt idx="4">
                  <c:v>6.9999999999999951E-2</c:v>
                </c:pt>
                <c:pt idx="5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5E-F64A-A870-652C89658C74}"/>
            </c:ext>
          </c:extLst>
        </c:ser>
        <c:ser>
          <c:idx val="5"/>
          <c:order val="5"/>
          <c:tx>
            <c:strRef>
              <c:f>plaque!$Y$8</c:f>
              <c:strCache>
                <c:ptCount val="1"/>
                <c:pt idx="0">
                  <c:v>M_2a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multiLvlStrRef>
              <c:f>plaque!$Z$1:$AE$2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plaque!$Z$8:$AE$8</c:f>
              <c:numCache>
                <c:formatCode>General</c:formatCode>
                <c:ptCount val="6"/>
                <c:pt idx="0">
                  <c:v>0</c:v>
                </c:pt>
                <c:pt idx="1">
                  <c:v>1.0000000000000009E-2</c:v>
                </c:pt>
                <c:pt idx="2">
                  <c:v>8.9999999999999969E-2</c:v>
                </c:pt>
                <c:pt idx="3">
                  <c:v>0.18000000000000005</c:v>
                </c:pt>
                <c:pt idx="4">
                  <c:v>0.24</c:v>
                </c:pt>
                <c:pt idx="5">
                  <c:v>0.16000000000000003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5E-F64A-A870-652C89658C74}"/>
            </c:ext>
          </c:extLst>
        </c:ser>
        <c:ser>
          <c:idx val="6"/>
          <c:order val="6"/>
          <c:tx>
            <c:strRef>
              <c:f>plaque!$Y$9</c:f>
              <c:strCache>
                <c:ptCount val="1"/>
                <c:pt idx="0">
                  <c:v>M_b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multiLvlStrRef>
              <c:f>plaque!$Z$1:$AE$2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plaque!$Z$9:$AE$9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E5E-F64A-A870-652C89658C74}"/>
            </c:ext>
          </c:extLst>
        </c:ser>
        <c:ser>
          <c:idx val="7"/>
          <c:order val="7"/>
          <c:tx>
            <c:strRef>
              <c:f>plaque!$Y$10</c:f>
              <c:strCache>
                <c:ptCount val="1"/>
                <c:pt idx="0">
                  <c:v>M_c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multiLvlStrRef>
              <c:f>plaque!$Z$1:$AE$2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plaque!$Z$10:$AE$10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1.0000000000000009E-2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5E-F64A-A870-652C89658C74}"/>
            </c:ext>
          </c:extLst>
        </c:ser>
        <c:ser>
          <c:idx val="8"/>
          <c:order val="8"/>
          <c:tx>
            <c:strRef>
              <c:f>plaque!$Y$11</c:f>
              <c:strCache>
                <c:ptCount val="1"/>
                <c:pt idx="0">
                  <c:v>M_f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multiLvlStrRef>
              <c:f>plaque!$Z$1:$AE$2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plaque!$Z$11:$AE$11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E5E-F64A-A870-652C89658C74}"/>
            </c:ext>
          </c:extLst>
        </c:ser>
        <c:ser>
          <c:idx val="9"/>
          <c:order val="9"/>
          <c:tx>
            <c:strRef>
              <c:f>plaque!$Y$12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multiLvlStrRef>
              <c:f>plaque!$Z$1:$AE$2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plaque!$Z$12:$AE$12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E5E-F64A-A870-652C89658C74}"/>
            </c:ext>
          </c:extLst>
        </c:ser>
        <c:ser>
          <c:idx val="10"/>
          <c:order val="10"/>
          <c:tx>
            <c:strRef>
              <c:f>plaque!$Y$13</c:f>
              <c:strCache>
                <c:ptCount val="1"/>
                <c:pt idx="0">
                  <c:v>LG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multiLvlStrRef>
              <c:f>plaque!$Z$1:$AE$2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plaque!$Z$13:$AE$13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E5E-F64A-A870-652C89658C74}"/>
            </c:ext>
          </c:extLst>
        </c:ser>
        <c:ser>
          <c:idx val="12"/>
          <c:order val="11"/>
          <c:tx>
            <c:strRef>
              <c:f>plaque!$Y$15</c:f>
              <c:strCache>
                <c:ptCount val="1"/>
                <c:pt idx="0">
                  <c:v>S_d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plaque!$Z$1:$AE$2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plaque!$Z$15:$AE$15</c:f>
              <c:numCache>
                <c:formatCode>General</c:formatCode>
                <c:ptCount val="6"/>
                <c:pt idx="0">
                  <c:v>0</c:v>
                </c:pt>
                <c:pt idx="1">
                  <c:v>2.0000000000000018E-2</c:v>
                </c:pt>
                <c:pt idx="2">
                  <c:v>4.0000000000000036E-2</c:v>
                </c:pt>
                <c:pt idx="3">
                  <c:v>2.0000000000000018E-2</c:v>
                </c:pt>
                <c:pt idx="4">
                  <c:v>5.0000000000000044E-2</c:v>
                </c:pt>
                <c:pt idx="5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E5E-F64A-A870-652C89658C74}"/>
            </c:ext>
          </c:extLst>
        </c:ser>
        <c:ser>
          <c:idx val="14"/>
          <c:order val="12"/>
          <c:tx>
            <c:strRef>
              <c:f>plaque!$Y$17</c:f>
              <c:strCache>
                <c:ptCount val="1"/>
                <c:pt idx="0">
                  <c:v>S_a1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plaque!$Z$1:$AE$2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plaque!$Z$17:$AE$17</c:f>
              <c:numCache>
                <c:formatCode>General</c:formatCode>
                <c:ptCount val="6"/>
                <c:pt idx="0">
                  <c:v>0</c:v>
                </c:pt>
                <c:pt idx="1">
                  <c:v>1.0000000000000009E-2</c:v>
                </c:pt>
                <c:pt idx="2">
                  <c:v>4.0000000000000036E-2</c:v>
                </c:pt>
                <c:pt idx="3">
                  <c:v>8.9999999999999969E-2</c:v>
                </c:pt>
                <c:pt idx="4">
                  <c:v>0.19999999999999996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E5E-F64A-A870-652C89658C74}"/>
            </c:ext>
          </c:extLst>
        </c:ser>
        <c:ser>
          <c:idx val="16"/>
          <c:order val="13"/>
          <c:tx>
            <c:strRef>
              <c:f>plaque!$Y$19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plaque!$Z$1:$AE$2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D</c:v>
                  </c:pt>
                </c:lvl>
              </c:multiLvlStrCache>
            </c:multiLvlStrRef>
          </c:xVal>
          <c:yVal>
            <c:numRef>
              <c:f>plaque!$Z$19:$AE$19</c:f>
              <c:numCache>
                <c:formatCode>General</c:formatCode>
                <c:ptCount val="6"/>
                <c:pt idx="0">
                  <c:v>0</c:v>
                </c:pt>
                <c:pt idx="1">
                  <c:v>1.0000000000000009E-2</c:v>
                </c:pt>
                <c:pt idx="2">
                  <c:v>6.0000000000000053E-2</c:v>
                </c:pt>
                <c:pt idx="3">
                  <c:v>6.0000000000000053E-2</c:v>
                </c:pt>
                <c:pt idx="4">
                  <c:v>6.0000000000000053E-2</c:v>
                </c:pt>
                <c:pt idx="5">
                  <c:v>6.0000000000000053E-2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E5E-F64A-A870-652C89658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119376"/>
        <c:axId val="478287872"/>
      </c:scatterChart>
      <c:valAx>
        <c:axId val="49711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Cycle</a:t>
                </a:r>
                <a:r>
                  <a:rPr lang="en-GB" baseline="0"/>
                  <a:t> number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87872"/>
        <c:crosses val="autoZero"/>
        <c:crossBetween val="midCat"/>
      </c:valAx>
      <c:valAx>
        <c:axId val="47828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11937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Quality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plaque!$AG$3</c:f>
              <c:strCache>
                <c:ptCount val="1"/>
                <c:pt idx="0">
                  <c:v>L_a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plaque!$AH$1:$AM$2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plaque!$AH$3:$AM$3</c:f>
              <c:numCache>
                <c:formatCode>General</c:formatCode>
                <c:ptCount val="6"/>
                <c:pt idx="0">
                  <c:v>68.790000000000006</c:v>
                </c:pt>
                <c:pt idx="1">
                  <c:v>89.88</c:v>
                </c:pt>
                <c:pt idx="2">
                  <c:v>60.01</c:v>
                </c:pt>
                <c:pt idx="3">
                  <c:v>57.25</c:v>
                </c:pt>
                <c:pt idx="4">
                  <c:v>56.74</c:v>
                </c:pt>
                <c:pt idx="5">
                  <c:v>49.13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7-F449-A908-E6C8B2EEDA56}"/>
            </c:ext>
          </c:extLst>
        </c:ser>
        <c:ser>
          <c:idx val="1"/>
          <c:order val="1"/>
          <c:tx>
            <c:strRef>
              <c:f>plaque!$AG$4</c:f>
              <c:strCache>
                <c:ptCount val="1"/>
                <c:pt idx="0">
                  <c:v>L_b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plaque!$AH$1:$AM$2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plaque!$AH$4:$AM$4</c:f>
              <c:numCache>
                <c:formatCode>General</c:formatCode>
                <c:ptCount val="6"/>
                <c:pt idx="0">
                  <c:v>93.23</c:v>
                </c:pt>
                <c:pt idx="1">
                  <c:v>94.23</c:v>
                </c:pt>
                <c:pt idx="2">
                  <c:v>89.34</c:v>
                </c:pt>
                <c:pt idx="3">
                  <c:v>83.62</c:v>
                </c:pt>
                <c:pt idx="4">
                  <c:v>89.04</c:v>
                </c:pt>
                <c:pt idx="5">
                  <c:v>88.35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7-F449-A908-E6C8B2EEDA56}"/>
            </c:ext>
          </c:extLst>
        </c:ser>
        <c:ser>
          <c:idx val="2"/>
          <c:order val="2"/>
          <c:tx>
            <c:strRef>
              <c:f>plaque!$AG$5</c:f>
              <c:strCache>
                <c:ptCount val="1"/>
                <c:pt idx="0">
                  <c:v>L_e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plaque!$AH$1:$AM$2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plaque!$AH$5:$AM$5</c:f>
              <c:numCache>
                <c:formatCode>General</c:formatCode>
                <c:ptCount val="6"/>
                <c:pt idx="0">
                  <c:v>72.78</c:v>
                </c:pt>
                <c:pt idx="1">
                  <c:v>60.55</c:v>
                </c:pt>
                <c:pt idx="2">
                  <c:v>77.16</c:v>
                </c:pt>
                <c:pt idx="3">
                  <c:v>79.19</c:v>
                </c:pt>
                <c:pt idx="4">
                  <c:v>64.87</c:v>
                </c:pt>
                <c:pt idx="5">
                  <c:v>65.06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7-F449-A908-E6C8B2EEDA56}"/>
            </c:ext>
          </c:extLst>
        </c:ser>
        <c:ser>
          <c:idx val="4"/>
          <c:order val="3"/>
          <c:tx>
            <c:strRef>
              <c:f>plaque!$AG$7</c:f>
              <c:strCache>
                <c:ptCount val="1"/>
                <c:pt idx="0">
                  <c:v>M_1a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multiLvlStrRef>
              <c:f>plaque!$AH$1:$AM$2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plaque!$AH$7:$AM$7</c:f>
              <c:numCache>
                <c:formatCode>General</c:formatCode>
                <c:ptCount val="6"/>
                <c:pt idx="0">
                  <c:v>98.15</c:v>
                </c:pt>
                <c:pt idx="1">
                  <c:v>59.21</c:v>
                </c:pt>
                <c:pt idx="2">
                  <c:v>81.650000000000006</c:v>
                </c:pt>
                <c:pt idx="3">
                  <c:v>92.99</c:v>
                </c:pt>
                <c:pt idx="4">
                  <c:v>72.19</c:v>
                </c:pt>
                <c:pt idx="5">
                  <c:v>60.74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7-F449-A908-E6C8B2EEDA56}"/>
            </c:ext>
          </c:extLst>
        </c:ser>
        <c:ser>
          <c:idx val="5"/>
          <c:order val="4"/>
          <c:tx>
            <c:strRef>
              <c:f>plaque!$AG$8</c:f>
              <c:strCache>
                <c:ptCount val="1"/>
                <c:pt idx="0">
                  <c:v>M_2a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multiLvlStrRef>
              <c:f>plaque!$AH$1:$AM$2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plaque!$AH$8:$AM$8</c:f>
              <c:numCache>
                <c:formatCode>General</c:formatCode>
                <c:ptCount val="6"/>
                <c:pt idx="0">
                  <c:v>27.39</c:v>
                </c:pt>
                <c:pt idx="1">
                  <c:v>16.95</c:v>
                </c:pt>
                <c:pt idx="2">
                  <c:v>13.32</c:v>
                </c:pt>
                <c:pt idx="3">
                  <c:v>12.43</c:v>
                </c:pt>
                <c:pt idx="4">
                  <c:v>9.06</c:v>
                </c:pt>
                <c:pt idx="5">
                  <c:v>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7-F449-A908-E6C8B2EEDA56}"/>
            </c:ext>
          </c:extLst>
        </c:ser>
        <c:ser>
          <c:idx val="6"/>
          <c:order val="5"/>
          <c:tx>
            <c:strRef>
              <c:f>plaque!$AG$9</c:f>
              <c:strCache>
                <c:ptCount val="1"/>
                <c:pt idx="0">
                  <c:v>M_b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multiLvlStrRef>
              <c:f>plaque!$AH$1:$AM$2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plaque!$AH$9:$AM$9</c:f>
              <c:numCache>
                <c:formatCode>General</c:formatCode>
                <c:ptCount val="6"/>
                <c:pt idx="0">
                  <c:v>117.72</c:v>
                </c:pt>
                <c:pt idx="1">
                  <c:v>112.83</c:v>
                </c:pt>
                <c:pt idx="2">
                  <c:v>128.24</c:v>
                </c:pt>
                <c:pt idx="3">
                  <c:v>128.11000000000001</c:v>
                </c:pt>
                <c:pt idx="4">
                  <c:v>126.72</c:v>
                </c:pt>
                <c:pt idx="5">
                  <c:v>90.04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7-F449-A908-E6C8B2EEDA56}"/>
            </c:ext>
          </c:extLst>
        </c:ser>
        <c:ser>
          <c:idx val="7"/>
          <c:order val="6"/>
          <c:tx>
            <c:strRef>
              <c:f>plaque!$AG$10</c:f>
              <c:strCache>
                <c:ptCount val="1"/>
                <c:pt idx="0">
                  <c:v>M_c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multiLvlStrRef>
              <c:f>plaque!$AH$1:$AM$2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plaque!$AH$10:$AM$10</c:f>
              <c:numCache>
                <c:formatCode>General</c:formatCode>
                <c:ptCount val="6"/>
                <c:pt idx="0">
                  <c:v>152.07</c:v>
                </c:pt>
                <c:pt idx="1">
                  <c:v>154.47999999999999</c:v>
                </c:pt>
                <c:pt idx="2">
                  <c:v>105.9</c:v>
                </c:pt>
                <c:pt idx="3">
                  <c:v>121.86</c:v>
                </c:pt>
                <c:pt idx="4">
                  <c:v>123.38</c:v>
                </c:pt>
                <c:pt idx="5">
                  <c:v>114.65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7-F449-A908-E6C8B2EEDA56}"/>
            </c:ext>
          </c:extLst>
        </c:ser>
        <c:ser>
          <c:idx val="8"/>
          <c:order val="7"/>
          <c:tx>
            <c:strRef>
              <c:f>plaque!$AG$11</c:f>
              <c:strCache>
                <c:ptCount val="1"/>
                <c:pt idx="0">
                  <c:v>M_f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multiLvlStrRef>
              <c:f>plaque!$AH$1:$AM$2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plaque!$AH$11:$AM$11</c:f>
              <c:numCache>
                <c:formatCode>General</c:formatCode>
                <c:ptCount val="6"/>
                <c:pt idx="0">
                  <c:v>124.16</c:v>
                </c:pt>
                <c:pt idx="1">
                  <c:v>151.88</c:v>
                </c:pt>
                <c:pt idx="2">
                  <c:v>132.24</c:v>
                </c:pt>
                <c:pt idx="3">
                  <c:v>113.24</c:v>
                </c:pt>
                <c:pt idx="4">
                  <c:v>127.74</c:v>
                </c:pt>
                <c:pt idx="5">
                  <c:v>131.91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7-F449-A908-E6C8B2EEDA56}"/>
            </c:ext>
          </c:extLst>
        </c:ser>
        <c:ser>
          <c:idx val="10"/>
          <c:order val="8"/>
          <c:tx>
            <c:strRef>
              <c:f>plaque!$AG$13</c:f>
              <c:strCache>
                <c:ptCount val="1"/>
                <c:pt idx="0">
                  <c:v>LG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multiLvlStrRef>
              <c:f>plaque!$AH$1:$AM$2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plaque!$AH$13:$AM$13</c:f>
              <c:numCache>
                <c:formatCode>General</c:formatCode>
                <c:ptCount val="6"/>
                <c:pt idx="0">
                  <c:v>140.44999999999999</c:v>
                </c:pt>
                <c:pt idx="1">
                  <c:v>125.89</c:v>
                </c:pt>
                <c:pt idx="2">
                  <c:v>136.08000000000001</c:v>
                </c:pt>
                <c:pt idx="3">
                  <c:v>129.86000000000001</c:v>
                </c:pt>
                <c:pt idx="4">
                  <c:v>130.22999999999999</c:v>
                </c:pt>
                <c:pt idx="5">
                  <c:v>127.89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7-F449-A908-E6C8B2EEDA56}"/>
            </c:ext>
          </c:extLst>
        </c:ser>
        <c:ser>
          <c:idx val="12"/>
          <c:order val="9"/>
          <c:tx>
            <c:strRef>
              <c:f>plaque!$AG$15</c:f>
              <c:strCache>
                <c:ptCount val="1"/>
                <c:pt idx="0">
                  <c:v>S_d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plaque!$AH$1:$AM$2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plaque!$AH$15:$AM$15</c:f>
              <c:numCache>
                <c:formatCode>General</c:formatCode>
                <c:ptCount val="6"/>
                <c:pt idx="0">
                  <c:v>65.08</c:v>
                </c:pt>
                <c:pt idx="1">
                  <c:v>55.48</c:v>
                </c:pt>
                <c:pt idx="2">
                  <c:v>52.98</c:v>
                </c:pt>
                <c:pt idx="3">
                  <c:v>52.43</c:v>
                </c:pt>
                <c:pt idx="4">
                  <c:v>49.4</c:v>
                </c:pt>
                <c:pt idx="5">
                  <c:v>43.53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7-F449-A908-E6C8B2EEDA56}"/>
            </c:ext>
          </c:extLst>
        </c:ser>
        <c:ser>
          <c:idx val="14"/>
          <c:order val="10"/>
          <c:tx>
            <c:strRef>
              <c:f>plaque!$AG$17</c:f>
              <c:strCache>
                <c:ptCount val="1"/>
                <c:pt idx="0">
                  <c:v>S_a1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plaque!$AH$1:$AM$2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plaque!$AH$17:$AM$17</c:f>
              <c:numCache>
                <c:formatCode>General</c:formatCode>
                <c:ptCount val="6"/>
                <c:pt idx="0">
                  <c:v>75.38</c:v>
                </c:pt>
                <c:pt idx="1">
                  <c:v>75.13</c:v>
                </c:pt>
                <c:pt idx="2">
                  <c:v>76.92</c:v>
                </c:pt>
                <c:pt idx="3">
                  <c:v>65.41</c:v>
                </c:pt>
                <c:pt idx="4">
                  <c:v>43.39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7-F449-A908-E6C8B2EEDA56}"/>
            </c:ext>
          </c:extLst>
        </c:ser>
        <c:ser>
          <c:idx val="16"/>
          <c:order val="11"/>
          <c:tx>
            <c:strRef>
              <c:f>plaque!$AG$19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plaque!$AH$1:$AM$2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Q</c:v>
                  </c:pt>
                </c:lvl>
              </c:multiLvlStrCache>
            </c:multiLvlStrRef>
          </c:xVal>
          <c:yVal>
            <c:numRef>
              <c:f>plaque!$AH$19:$AM$19</c:f>
              <c:numCache>
                <c:formatCode>General</c:formatCode>
                <c:ptCount val="6"/>
                <c:pt idx="0">
                  <c:v>127</c:v>
                </c:pt>
                <c:pt idx="1">
                  <c:v>112.33</c:v>
                </c:pt>
                <c:pt idx="2">
                  <c:v>91.84</c:v>
                </c:pt>
                <c:pt idx="3">
                  <c:v>114.04</c:v>
                </c:pt>
                <c:pt idx="4">
                  <c:v>83.62</c:v>
                </c:pt>
                <c:pt idx="5">
                  <c:v>133.86000000000001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7-F449-A908-E6C8B2EED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440032"/>
        <c:axId val="1236688384"/>
      </c:scatterChart>
      <c:valAx>
        <c:axId val="123644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88384"/>
        <c:crosses val="autoZero"/>
        <c:crossBetween val="midCat"/>
      </c:valAx>
      <c:valAx>
        <c:axId val="12366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440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752360470359708"/>
          <c:y val="0.90670674092567694"/>
          <c:w val="0.75367525755315823"/>
          <c:h val="7.8659112732859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Damping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plaque!$Q$3</c:f>
              <c:strCache>
                <c:ptCount val="1"/>
                <c:pt idx="0">
                  <c:v>L_a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plaque!$R$1:$W$2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plaque!$R$3:$W$3</c:f>
              <c:numCache>
                <c:formatCode>General</c:formatCode>
                <c:ptCount val="6"/>
                <c:pt idx="0">
                  <c:v>0.72689999999999999</c:v>
                </c:pt>
                <c:pt idx="1">
                  <c:v>0.55627499999999996</c:v>
                </c:pt>
                <c:pt idx="2">
                  <c:v>0.833233</c:v>
                </c:pt>
                <c:pt idx="3">
                  <c:v>0.87335499999999999</c:v>
                </c:pt>
                <c:pt idx="4">
                  <c:v>0.88117800000000002</c:v>
                </c:pt>
                <c:pt idx="5">
                  <c:v>1.017641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89-0840-B14A-F72D5963CE4D}"/>
            </c:ext>
          </c:extLst>
        </c:ser>
        <c:ser>
          <c:idx val="1"/>
          <c:order val="1"/>
          <c:tx>
            <c:strRef>
              <c:f>plaque!$Q$4</c:f>
              <c:strCache>
                <c:ptCount val="1"/>
                <c:pt idx="0">
                  <c:v>L_b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plaque!$R$1:$W$2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plaque!$R$4:$W$4</c:f>
              <c:numCache>
                <c:formatCode>General</c:formatCode>
                <c:ptCount val="6"/>
                <c:pt idx="0">
                  <c:v>0.5363</c:v>
                </c:pt>
                <c:pt idx="1">
                  <c:v>0.53063800000000005</c:v>
                </c:pt>
                <c:pt idx="2">
                  <c:v>0.55965299999999996</c:v>
                </c:pt>
                <c:pt idx="3">
                  <c:v>0.59792999999999996</c:v>
                </c:pt>
                <c:pt idx="4">
                  <c:v>0.56157100000000004</c:v>
                </c:pt>
                <c:pt idx="5">
                  <c:v>0.56594800000000001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89-0840-B14A-F72D5963CE4D}"/>
            </c:ext>
          </c:extLst>
        </c:ser>
        <c:ser>
          <c:idx val="2"/>
          <c:order val="2"/>
          <c:tx>
            <c:strRef>
              <c:f>plaque!$Q$5</c:f>
              <c:strCache>
                <c:ptCount val="1"/>
                <c:pt idx="0">
                  <c:v>L_e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plaque!$R$1:$W$2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plaque!$R$5:$W$5</c:f>
              <c:numCache>
                <c:formatCode>General</c:formatCode>
                <c:ptCount val="6"/>
                <c:pt idx="0">
                  <c:v>0.68696699999999999</c:v>
                </c:pt>
                <c:pt idx="1">
                  <c:v>0.82577299999999998</c:v>
                </c:pt>
                <c:pt idx="2">
                  <c:v>0.64798299999999998</c:v>
                </c:pt>
                <c:pt idx="3">
                  <c:v>0.63140099999999999</c:v>
                </c:pt>
                <c:pt idx="4">
                  <c:v>0.77081500000000003</c:v>
                </c:pt>
                <c:pt idx="5">
                  <c:v>0.768571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89-0840-B14A-F72D5963CE4D}"/>
            </c:ext>
          </c:extLst>
        </c:ser>
        <c:ser>
          <c:idx val="4"/>
          <c:order val="3"/>
          <c:tx>
            <c:strRef>
              <c:f>plaque!$Q$7</c:f>
              <c:strCache>
                <c:ptCount val="1"/>
                <c:pt idx="0">
                  <c:v>M_1a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multiLvlStrRef>
              <c:f>plaque!$R$1:$W$2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plaque!$R$7:$W$7</c:f>
              <c:numCache>
                <c:formatCode>General</c:formatCode>
                <c:ptCount val="6"/>
                <c:pt idx="0">
                  <c:v>0.509436</c:v>
                </c:pt>
                <c:pt idx="1">
                  <c:v>0.84440000000000004</c:v>
                </c:pt>
                <c:pt idx="2">
                  <c:v>0.61233800000000005</c:v>
                </c:pt>
                <c:pt idx="3">
                  <c:v>0.53767900000000002</c:v>
                </c:pt>
                <c:pt idx="4">
                  <c:v>0.692577</c:v>
                </c:pt>
                <c:pt idx="5">
                  <c:v>0.82311999999999996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89-0840-B14A-F72D5963CE4D}"/>
            </c:ext>
          </c:extLst>
        </c:ser>
        <c:ser>
          <c:idx val="5"/>
          <c:order val="4"/>
          <c:tx>
            <c:strRef>
              <c:f>plaque!$Q$8</c:f>
              <c:strCache>
                <c:ptCount val="1"/>
                <c:pt idx="0">
                  <c:v>M_2a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multiLvlStrRef>
              <c:f>plaque!$R$1:$W$2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plaque!$R$8:$W$8</c:f>
              <c:numCache>
                <c:formatCode>General</c:formatCode>
                <c:ptCount val="6"/>
                <c:pt idx="0">
                  <c:v>1.825162</c:v>
                </c:pt>
                <c:pt idx="1">
                  <c:v>2.9493770000000001</c:v>
                </c:pt>
                <c:pt idx="2">
                  <c:v>3.7532480000000001</c:v>
                </c:pt>
                <c:pt idx="3">
                  <c:v>4.0223740000000001</c:v>
                </c:pt>
                <c:pt idx="4">
                  <c:v>5.521026</c:v>
                </c:pt>
                <c:pt idx="5">
                  <c:v>5.616028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C89-0840-B14A-F72D5963CE4D}"/>
            </c:ext>
          </c:extLst>
        </c:ser>
        <c:ser>
          <c:idx val="6"/>
          <c:order val="5"/>
          <c:tx>
            <c:strRef>
              <c:f>plaque!$Q$9</c:f>
              <c:strCache>
                <c:ptCount val="1"/>
                <c:pt idx="0">
                  <c:v>M_b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multiLvlStrRef>
              <c:f>plaque!$R$1:$W$2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plaque!$R$9:$W$9</c:f>
              <c:numCache>
                <c:formatCode>General</c:formatCode>
                <c:ptCount val="6"/>
                <c:pt idx="0">
                  <c:v>0.42474000000000001</c:v>
                </c:pt>
                <c:pt idx="1">
                  <c:v>0.44313799999999998</c:v>
                </c:pt>
                <c:pt idx="2">
                  <c:v>0.389901</c:v>
                </c:pt>
                <c:pt idx="3">
                  <c:v>0.39029199999999997</c:v>
                </c:pt>
                <c:pt idx="4">
                  <c:v>0.39456999999999998</c:v>
                </c:pt>
                <c:pt idx="5">
                  <c:v>0.555311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C89-0840-B14A-F72D5963CE4D}"/>
            </c:ext>
          </c:extLst>
        </c:ser>
        <c:ser>
          <c:idx val="7"/>
          <c:order val="6"/>
          <c:tx>
            <c:strRef>
              <c:f>plaque!$Q$10</c:f>
              <c:strCache>
                <c:ptCount val="1"/>
                <c:pt idx="0">
                  <c:v>M_c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multiLvlStrRef>
              <c:f>plaque!$R$1:$W$2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plaque!$R$10:$W$10</c:f>
              <c:numCache>
                <c:formatCode>General</c:formatCode>
                <c:ptCount val="6"/>
                <c:pt idx="0">
                  <c:v>0.32879999999999998</c:v>
                </c:pt>
                <c:pt idx="1">
                  <c:v>0.32366299999999998</c:v>
                </c:pt>
                <c:pt idx="2">
                  <c:v>0.472136</c:v>
                </c:pt>
                <c:pt idx="3">
                  <c:v>0.41030299999999997</c:v>
                </c:pt>
                <c:pt idx="4">
                  <c:v>0.40523900000000002</c:v>
                </c:pt>
                <c:pt idx="5">
                  <c:v>0.43609199999999998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C89-0840-B14A-F72D5963CE4D}"/>
            </c:ext>
          </c:extLst>
        </c:ser>
        <c:ser>
          <c:idx val="8"/>
          <c:order val="7"/>
          <c:tx>
            <c:strRef>
              <c:f>plaque!$Q$11</c:f>
              <c:strCache>
                <c:ptCount val="1"/>
                <c:pt idx="0">
                  <c:v>M_f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multiLvlStrRef>
              <c:f>plaque!$R$1:$W$2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plaque!$R$11:$W$11</c:f>
              <c:numCache>
                <c:formatCode>General</c:formatCode>
                <c:ptCount val="6"/>
                <c:pt idx="0">
                  <c:v>0.40269500000000003</c:v>
                </c:pt>
                <c:pt idx="1">
                  <c:v>0.32919999999999999</c:v>
                </c:pt>
                <c:pt idx="2">
                  <c:v>0.37808700000000001</c:v>
                </c:pt>
                <c:pt idx="3">
                  <c:v>0.44154199999999999</c:v>
                </c:pt>
                <c:pt idx="4">
                  <c:v>0.39143499999999998</c:v>
                </c:pt>
                <c:pt idx="5">
                  <c:v>0.37904700000000002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C89-0840-B14A-F72D5963CE4D}"/>
            </c:ext>
          </c:extLst>
        </c:ser>
        <c:ser>
          <c:idx val="10"/>
          <c:order val="8"/>
          <c:tx>
            <c:strRef>
              <c:f>plaque!$Q$13</c:f>
              <c:strCache>
                <c:ptCount val="1"/>
                <c:pt idx="0">
                  <c:v>LG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multiLvlStrRef>
              <c:f>plaque!$R$1:$W$2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plaque!$R$13:$W$13</c:f>
              <c:numCache>
                <c:formatCode>General</c:formatCode>
                <c:ptCount val="6"/>
                <c:pt idx="0">
                  <c:v>0.35599999999999998</c:v>
                </c:pt>
                <c:pt idx="1">
                  <c:v>0.39716200000000002</c:v>
                </c:pt>
                <c:pt idx="2">
                  <c:v>0.367421</c:v>
                </c:pt>
                <c:pt idx="3">
                  <c:v>0.38502700000000001</c:v>
                </c:pt>
                <c:pt idx="4">
                  <c:v>0.38392500000000002</c:v>
                </c:pt>
                <c:pt idx="5">
                  <c:v>0.39095099999999999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C89-0840-B14A-F72D5963CE4D}"/>
            </c:ext>
          </c:extLst>
        </c:ser>
        <c:ser>
          <c:idx val="12"/>
          <c:order val="9"/>
          <c:tx>
            <c:strRef>
              <c:f>plaque!$Q$15</c:f>
              <c:strCache>
                <c:ptCount val="1"/>
                <c:pt idx="0">
                  <c:v>S_d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plaque!$R$1:$W$2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plaque!$R$15:$W$15</c:f>
              <c:numCache>
                <c:formatCode>General</c:formatCode>
                <c:ptCount val="6"/>
                <c:pt idx="0">
                  <c:v>0.76829999999999998</c:v>
                </c:pt>
                <c:pt idx="1">
                  <c:v>0.9012</c:v>
                </c:pt>
                <c:pt idx="2">
                  <c:v>0.943774</c:v>
                </c:pt>
                <c:pt idx="3">
                  <c:v>0.95369499999999996</c:v>
                </c:pt>
                <c:pt idx="4">
                  <c:v>1.0121929999999999</c:v>
                </c:pt>
                <c:pt idx="5">
                  <c:v>1.1487560000000001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C89-0840-B14A-F72D5963CE4D}"/>
            </c:ext>
          </c:extLst>
        </c:ser>
        <c:ser>
          <c:idx val="14"/>
          <c:order val="10"/>
          <c:tx>
            <c:strRef>
              <c:f>plaque!$Q$17</c:f>
              <c:strCache>
                <c:ptCount val="1"/>
                <c:pt idx="0">
                  <c:v>S_a1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plaque!$R$1:$W$2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plaque!$R$17:$W$17</c:f>
              <c:numCache>
                <c:formatCode>General</c:formatCode>
                <c:ptCount val="6"/>
                <c:pt idx="0">
                  <c:v>0.6633</c:v>
                </c:pt>
                <c:pt idx="1">
                  <c:v>0.66554800000000003</c:v>
                </c:pt>
                <c:pt idx="2">
                  <c:v>0.650061</c:v>
                </c:pt>
                <c:pt idx="3">
                  <c:v>0.76446499999999995</c:v>
                </c:pt>
                <c:pt idx="4">
                  <c:v>1.1522760000000001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C89-0840-B14A-F72D5963CE4D}"/>
            </c:ext>
          </c:extLst>
        </c:ser>
        <c:ser>
          <c:idx val="16"/>
          <c:order val="11"/>
          <c:tx>
            <c:strRef>
              <c:f>plaque!$Q$19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plaque!$R$1:$W$2</c:f>
              <c:multiLvlStrCache>
                <c:ptCount val="6"/>
                <c:lvl>
                  <c:pt idx="0">
                    <c:v>0</c:v>
                  </c:pt>
                  <c:pt idx="1">
                    <c:v>10</c:v>
                  </c:pt>
                  <c:pt idx="2">
                    <c:v>31</c:v>
                  </c:pt>
                  <c:pt idx="3">
                    <c:v>52</c:v>
                  </c:pt>
                  <c:pt idx="4">
                    <c:v>73</c:v>
                  </c:pt>
                  <c:pt idx="5">
                    <c:v>94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xVal>
          <c:yVal>
            <c:numRef>
              <c:f>plaque!$R$19:$W$19</c:f>
              <c:numCache>
                <c:formatCode>General</c:formatCode>
                <c:ptCount val="6"/>
                <c:pt idx="0">
                  <c:v>0.39369999999999999</c:v>
                </c:pt>
                <c:pt idx="1">
                  <c:v>0.44511000000000001</c:v>
                </c:pt>
                <c:pt idx="2">
                  <c:v>0.54444599999999999</c:v>
                </c:pt>
                <c:pt idx="3">
                  <c:v>0.43843700000000002</c:v>
                </c:pt>
                <c:pt idx="4">
                  <c:v>0.59797400000000001</c:v>
                </c:pt>
                <c:pt idx="5">
                  <c:v>0.37352099999999999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C89-0840-B14A-F72D5963C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073488"/>
        <c:axId val="501847296"/>
      </c:scatterChart>
      <c:valAx>
        <c:axId val="50207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847296"/>
        <c:crosses val="autoZero"/>
        <c:crossBetween val="midCat"/>
      </c:valAx>
      <c:valAx>
        <c:axId val="50184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73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673100</xdr:colOff>
      <xdr:row>30</xdr:row>
      <xdr:rowOff>50800</xdr:rowOff>
    </xdr:from>
    <xdr:to>
      <xdr:col>26</xdr:col>
      <xdr:colOff>558800</xdr:colOff>
      <xdr:row>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91B2B-3A2C-5B7D-00D7-165A858B2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254000</xdr:colOff>
      <xdr:row>29</xdr:row>
      <xdr:rowOff>165100</xdr:rowOff>
    </xdr:from>
    <xdr:to>
      <xdr:col>34</xdr:col>
      <xdr:colOff>736600</xdr:colOff>
      <xdr:row>50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ACC429-C0C9-5A69-A4CD-DB062B31A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476250</xdr:colOff>
      <xdr:row>30</xdr:row>
      <xdr:rowOff>38100</xdr:rowOff>
    </xdr:from>
    <xdr:to>
      <xdr:col>42</xdr:col>
      <xdr:colOff>762000</xdr:colOff>
      <xdr:row>50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6AFA11-7C6F-13A0-1532-99C8F1D99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95250</xdr:colOff>
      <xdr:row>20</xdr:row>
      <xdr:rowOff>190500</xdr:rowOff>
    </xdr:from>
    <xdr:to>
      <xdr:col>23</xdr:col>
      <xdr:colOff>800100</xdr:colOff>
      <xdr:row>46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38B0E0-8DE9-D639-8BAC-DB731D2C0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6350</xdr:colOff>
      <xdr:row>20</xdr:row>
      <xdr:rowOff>152400</xdr:rowOff>
    </xdr:from>
    <xdr:to>
      <xdr:col>33</xdr:col>
      <xdr:colOff>609600</xdr:colOff>
      <xdr:row>46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01CF71-603B-D62D-C66C-58B61CC1B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167640</xdr:colOff>
      <xdr:row>20</xdr:row>
      <xdr:rowOff>142240</xdr:rowOff>
    </xdr:from>
    <xdr:to>
      <xdr:col>41</xdr:col>
      <xdr:colOff>335280</xdr:colOff>
      <xdr:row>46</xdr:row>
      <xdr:rowOff>20320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632CE7-C4E9-FCD8-971F-7066EEB89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7E2E-4779-7C4C-849B-7C6C28736389}">
  <dimension ref="A1:AM29"/>
  <sheetViews>
    <sheetView topLeftCell="R1" workbookViewId="0">
      <selection activeCell="Q1" sqref="Q1:W5"/>
    </sheetView>
  </sheetViews>
  <sheetFormatPr baseColWidth="10" defaultRowHeight="16" x14ac:dyDescent="0.2"/>
  <sheetData>
    <row r="1" spans="1:39" s="3" customFormat="1" x14ac:dyDescent="0.2">
      <c r="C1" s="5" t="s">
        <v>16</v>
      </c>
      <c r="D1" s="5"/>
      <c r="E1" s="5"/>
      <c r="F1" s="5"/>
      <c r="G1" s="5"/>
      <c r="H1" s="5"/>
      <c r="J1" s="5" t="s">
        <v>4</v>
      </c>
      <c r="K1" s="5"/>
      <c r="L1" s="5"/>
      <c r="M1" s="5"/>
      <c r="N1" s="5"/>
      <c r="O1" s="5"/>
      <c r="R1" s="5" t="s">
        <v>39</v>
      </c>
      <c r="S1" s="5"/>
      <c r="T1" s="5"/>
      <c r="U1" s="5"/>
      <c r="V1" s="5"/>
      <c r="W1" s="5"/>
      <c r="X1" s="4"/>
      <c r="Z1" s="5" t="s">
        <v>40</v>
      </c>
      <c r="AA1" s="5"/>
      <c r="AB1" s="5"/>
      <c r="AC1" s="5"/>
      <c r="AD1" s="5"/>
      <c r="AE1" s="5"/>
      <c r="AH1" s="5" t="s">
        <v>17</v>
      </c>
      <c r="AI1" s="5"/>
      <c r="AJ1" s="5"/>
      <c r="AK1" s="5"/>
      <c r="AL1" s="5"/>
      <c r="AM1" s="5"/>
    </row>
    <row r="2" spans="1:39" s="3" customFormat="1" x14ac:dyDescent="0.2">
      <c r="A2" s="3" t="s">
        <v>5</v>
      </c>
      <c r="B2" s="3" t="s">
        <v>3</v>
      </c>
      <c r="C2" s="3">
        <v>0</v>
      </c>
      <c r="D2" s="3">
        <v>10</v>
      </c>
      <c r="E2" s="3">
        <v>31</v>
      </c>
      <c r="F2" s="3">
        <v>52</v>
      </c>
      <c r="G2" s="3">
        <v>73</v>
      </c>
      <c r="H2" s="3">
        <v>94</v>
      </c>
      <c r="J2" s="3">
        <v>0</v>
      </c>
      <c r="K2" s="3">
        <v>10</v>
      </c>
      <c r="L2" s="3">
        <v>31</v>
      </c>
      <c r="M2" s="3">
        <v>52</v>
      </c>
      <c r="N2" s="3">
        <v>73</v>
      </c>
      <c r="O2" s="3">
        <v>94</v>
      </c>
      <c r="R2" s="3">
        <v>0</v>
      </c>
      <c r="S2" s="3">
        <v>10</v>
      </c>
      <c r="T2" s="3">
        <v>31</v>
      </c>
      <c r="U2" s="3">
        <v>52</v>
      </c>
      <c r="V2" s="3">
        <v>73</v>
      </c>
      <c r="W2" s="3">
        <v>94</v>
      </c>
      <c r="Z2" s="3">
        <v>0</v>
      </c>
      <c r="AA2" s="3">
        <v>10</v>
      </c>
      <c r="AB2" s="3">
        <v>31</v>
      </c>
      <c r="AC2" s="3">
        <v>52</v>
      </c>
      <c r="AD2" s="3">
        <v>73</v>
      </c>
      <c r="AE2" s="3">
        <v>94</v>
      </c>
      <c r="AH2" s="3">
        <v>0</v>
      </c>
      <c r="AI2" s="3">
        <v>10</v>
      </c>
      <c r="AJ2" s="3">
        <v>31</v>
      </c>
      <c r="AK2" s="3">
        <v>52</v>
      </c>
      <c r="AL2" s="3">
        <v>73</v>
      </c>
      <c r="AM2" s="3">
        <v>94</v>
      </c>
    </row>
    <row r="3" spans="1:39" x14ac:dyDescent="0.2">
      <c r="A3" t="s">
        <v>19</v>
      </c>
      <c r="B3" t="s">
        <v>18</v>
      </c>
      <c r="C3">
        <v>5519</v>
      </c>
      <c r="D3">
        <v>5543</v>
      </c>
      <c r="E3">
        <v>5373.8445039999997</v>
      </c>
      <c r="F3">
        <v>5390.8781479999998</v>
      </c>
      <c r="G3">
        <v>5331.8099359999997</v>
      </c>
      <c r="H3">
        <v>5313.9044270000004</v>
      </c>
      <c r="J3">
        <f>ROUND((C3/$C$3)^2,2)</f>
        <v>1</v>
      </c>
      <c r="K3">
        <f t="shared" ref="K3:O3" si="0">ROUND((D3/$C$3)^2,2)</f>
        <v>1.01</v>
      </c>
      <c r="L3">
        <f t="shared" si="0"/>
        <v>0.95</v>
      </c>
      <c r="M3">
        <f t="shared" si="0"/>
        <v>0.95</v>
      </c>
      <c r="N3">
        <f t="shared" si="0"/>
        <v>0.93</v>
      </c>
      <c r="O3">
        <f t="shared" si="0"/>
        <v>0.93</v>
      </c>
      <c r="Q3" t="s">
        <v>19</v>
      </c>
      <c r="R3">
        <v>0.83560000000000001</v>
      </c>
      <c r="S3">
        <v>1.0049999999999999</v>
      </c>
      <c r="T3">
        <v>1.578462</v>
      </c>
      <c r="U3">
        <v>0.92648299999999995</v>
      </c>
      <c r="V3">
        <v>1.320972</v>
      </c>
      <c r="W3">
        <v>1.0266519999999999</v>
      </c>
      <c r="Y3" t="s">
        <v>19</v>
      </c>
      <c r="Z3">
        <f>1-J3</f>
        <v>0</v>
      </c>
      <c r="AA3">
        <f t="shared" ref="AA3:AE3" si="1">1-K3</f>
        <v>-1.0000000000000009E-2</v>
      </c>
      <c r="AB3">
        <f t="shared" si="1"/>
        <v>5.0000000000000044E-2</v>
      </c>
      <c r="AC3">
        <f t="shared" si="1"/>
        <v>5.0000000000000044E-2</v>
      </c>
      <c r="AD3">
        <f t="shared" si="1"/>
        <v>6.9999999999999951E-2</v>
      </c>
      <c r="AE3">
        <f t="shared" si="1"/>
        <v>6.9999999999999951E-2</v>
      </c>
      <c r="AG3" t="s">
        <v>19</v>
      </c>
      <c r="AH3">
        <f>ROUND((1/(2*R3))*100,2)</f>
        <v>59.84</v>
      </c>
      <c r="AI3">
        <f t="shared" ref="AI3:AM3" si="2">ROUND((1/(2*S3))*100,2)</f>
        <v>49.75</v>
      </c>
      <c r="AJ3">
        <f t="shared" si="2"/>
        <v>31.68</v>
      </c>
      <c r="AK3">
        <f t="shared" si="2"/>
        <v>53.97</v>
      </c>
      <c r="AL3">
        <f t="shared" si="2"/>
        <v>37.85</v>
      </c>
      <c r="AM3">
        <f t="shared" si="2"/>
        <v>48.7</v>
      </c>
    </row>
    <row r="4" spans="1:39" x14ac:dyDescent="0.2">
      <c r="A4" t="s">
        <v>20</v>
      </c>
      <c r="B4" t="s">
        <v>18</v>
      </c>
      <c r="C4">
        <v>5170</v>
      </c>
      <c r="D4">
        <v>5183</v>
      </c>
      <c r="E4">
        <v>5104</v>
      </c>
      <c r="F4">
        <v>5107.4012460000004</v>
      </c>
      <c r="G4">
        <v>5069.2894340000003</v>
      </c>
      <c r="H4">
        <v>5046.659326</v>
      </c>
      <c r="J4">
        <f>ROUND((C4/$C$4)^2,2)</f>
        <v>1</v>
      </c>
      <c r="K4">
        <f t="shared" ref="K4:O4" si="3">ROUND((D4/$C$4)^2,2)</f>
        <v>1.01</v>
      </c>
      <c r="L4">
        <f t="shared" si="3"/>
        <v>0.97</v>
      </c>
      <c r="M4">
        <f t="shared" si="3"/>
        <v>0.98</v>
      </c>
      <c r="N4">
        <f t="shared" si="3"/>
        <v>0.96</v>
      </c>
      <c r="O4">
        <f t="shared" si="3"/>
        <v>0.95</v>
      </c>
      <c r="Q4" t="s">
        <v>20</v>
      </c>
      <c r="R4">
        <v>0.8609</v>
      </c>
      <c r="S4">
        <v>1.2749999999999999</v>
      </c>
      <c r="T4">
        <v>0.87</v>
      </c>
      <c r="U4">
        <v>0.837032</v>
      </c>
      <c r="V4">
        <v>1.345515</v>
      </c>
      <c r="W4">
        <v>0.88085899999999995</v>
      </c>
      <c r="Y4" t="s">
        <v>20</v>
      </c>
      <c r="Z4">
        <f>1-J4</f>
        <v>0</v>
      </c>
      <c r="AA4">
        <f t="shared" ref="AA4:AE5" si="4">1-K4</f>
        <v>-1.0000000000000009E-2</v>
      </c>
      <c r="AB4">
        <f t="shared" si="4"/>
        <v>3.0000000000000027E-2</v>
      </c>
      <c r="AC4">
        <f t="shared" si="4"/>
        <v>2.0000000000000018E-2</v>
      </c>
      <c r="AD4">
        <f t="shared" si="4"/>
        <v>4.0000000000000036E-2</v>
      </c>
      <c r="AE4">
        <f t="shared" si="4"/>
        <v>5.0000000000000044E-2</v>
      </c>
      <c r="AG4" t="s">
        <v>20</v>
      </c>
      <c r="AH4">
        <f>ROUND((1/(2*R4))*100,2)</f>
        <v>58.08</v>
      </c>
      <c r="AI4">
        <f t="shared" ref="AI4:AM5" si="5">ROUND((1/(2*S4))*100,2)</f>
        <v>39.22</v>
      </c>
      <c r="AJ4">
        <f t="shared" si="5"/>
        <v>57.47</v>
      </c>
      <c r="AK4">
        <f t="shared" si="5"/>
        <v>59.73</v>
      </c>
      <c r="AL4">
        <f t="shared" si="5"/>
        <v>37.159999999999997</v>
      </c>
      <c r="AM4">
        <f t="shared" si="5"/>
        <v>56.76</v>
      </c>
    </row>
    <row r="5" spans="1:39" x14ac:dyDescent="0.2">
      <c r="A5" t="s">
        <v>21</v>
      </c>
      <c r="B5" t="s">
        <v>18</v>
      </c>
      <c r="C5">
        <v>5550</v>
      </c>
      <c r="D5">
        <v>5600</v>
      </c>
      <c r="E5">
        <v>5416</v>
      </c>
      <c r="F5">
        <v>5401.7580930000004</v>
      </c>
      <c r="G5">
        <v>5393.2756790000003</v>
      </c>
      <c r="H5">
        <v>5350.0047770000001</v>
      </c>
      <c r="J5">
        <f>ROUND((C5/$C$5)^2,2)</f>
        <v>1</v>
      </c>
      <c r="K5">
        <f t="shared" ref="K5:O5" si="6">ROUND((D5/$C$5)^2,2)</f>
        <v>1.02</v>
      </c>
      <c r="L5">
        <f t="shared" si="6"/>
        <v>0.95</v>
      </c>
      <c r="M5">
        <f t="shared" si="6"/>
        <v>0.95</v>
      </c>
      <c r="N5">
        <f t="shared" si="6"/>
        <v>0.94</v>
      </c>
      <c r="O5">
        <f t="shared" si="6"/>
        <v>0.93</v>
      </c>
      <c r="Q5" t="s">
        <v>21</v>
      </c>
      <c r="R5">
        <v>1.0429999999999999</v>
      </c>
      <c r="S5">
        <v>1.1562239999999999</v>
      </c>
      <c r="T5">
        <v>1.3380000000000001</v>
      </c>
      <c r="U5">
        <v>1.469082</v>
      </c>
      <c r="V5">
        <v>1.309615</v>
      </c>
      <c r="W5">
        <v>1.08274</v>
      </c>
      <c r="Y5" t="s">
        <v>21</v>
      </c>
      <c r="Z5">
        <f>1-J5</f>
        <v>0</v>
      </c>
      <c r="AA5">
        <f t="shared" si="4"/>
        <v>-2.0000000000000018E-2</v>
      </c>
      <c r="AB5">
        <f t="shared" si="4"/>
        <v>5.0000000000000044E-2</v>
      </c>
      <c r="AC5">
        <f t="shared" si="4"/>
        <v>5.0000000000000044E-2</v>
      </c>
      <c r="AD5">
        <f t="shared" si="4"/>
        <v>6.0000000000000053E-2</v>
      </c>
      <c r="AE5">
        <f t="shared" si="4"/>
        <v>6.9999999999999951E-2</v>
      </c>
      <c r="AG5" t="s">
        <v>21</v>
      </c>
      <c r="AH5">
        <f>ROUND((1/(2*R5))*100,2)</f>
        <v>47.94</v>
      </c>
      <c r="AI5">
        <f t="shared" si="5"/>
        <v>43.24</v>
      </c>
      <c r="AJ5">
        <f t="shared" si="5"/>
        <v>37.369999999999997</v>
      </c>
      <c r="AK5">
        <f t="shared" si="5"/>
        <v>34.03</v>
      </c>
      <c r="AL5">
        <f t="shared" si="5"/>
        <v>38.18</v>
      </c>
      <c r="AM5">
        <f t="shared" si="5"/>
        <v>46.18</v>
      </c>
    </row>
    <row r="7" spans="1:39" x14ac:dyDescent="0.2">
      <c r="A7" t="s">
        <v>22</v>
      </c>
      <c r="B7" t="s">
        <v>18</v>
      </c>
      <c r="C7">
        <v>3252</v>
      </c>
      <c r="D7">
        <v>3265</v>
      </c>
      <c r="E7">
        <v>3237</v>
      </c>
      <c r="F7">
        <v>3227.2436910000001</v>
      </c>
      <c r="G7">
        <v>3224.69974</v>
      </c>
      <c r="H7">
        <v>3238.9666379999999</v>
      </c>
      <c r="J7">
        <f>ROUND((C7/$C$7)^2,2)</f>
        <v>1</v>
      </c>
      <c r="K7">
        <f t="shared" ref="K7:O7" si="7">ROUND((D7/$C$7)^2,2)</f>
        <v>1.01</v>
      </c>
      <c r="L7">
        <f t="shared" si="7"/>
        <v>0.99</v>
      </c>
      <c r="M7">
        <f t="shared" si="7"/>
        <v>0.98</v>
      </c>
      <c r="N7">
        <f t="shared" si="7"/>
        <v>0.98</v>
      </c>
      <c r="O7">
        <f t="shared" si="7"/>
        <v>0.99</v>
      </c>
      <c r="Q7" t="s">
        <v>22</v>
      </c>
      <c r="R7">
        <v>0.84989999999999999</v>
      </c>
      <c r="S7">
        <v>2.1989999999999998</v>
      </c>
      <c r="T7">
        <v>0.65749999999999997</v>
      </c>
      <c r="U7">
        <v>0.59953699999999999</v>
      </c>
      <c r="V7">
        <v>0.60717600000000005</v>
      </c>
      <c r="W7">
        <v>0.92446200000000001</v>
      </c>
      <c r="Y7" t="s">
        <v>22</v>
      </c>
      <c r="Z7">
        <f t="shared" ref="Z7:AE9" si="8">1-J7</f>
        <v>0</v>
      </c>
      <c r="AA7">
        <f t="shared" si="8"/>
        <v>-1.0000000000000009E-2</v>
      </c>
      <c r="AB7">
        <f t="shared" si="8"/>
        <v>1.0000000000000009E-2</v>
      </c>
      <c r="AC7">
        <f t="shared" si="8"/>
        <v>2.0000000000000018E-2</v>
      </c>
      <c r="AD7">
        <f t="shared" si="8"/>
        <v>2.0000000000000018E-2</v>
      </c>
      <c r="AE7">
        <f t="shared" si="8"/>
        <v>1.0000000000000009E-2</v>
      </c>
      <c r="AG7" t="s">
        <v>22</v>
      </c>
      <c r="AH7">
        <f t="shared" ref="AH7:AM9" si="9">ROUND((1/(2*R7))*100,2)</f>
        <v>58.83</v>
      </c>
      <c r="AI7">
        <f t="shared" si="9"/>
        <v>22.74</v>
      </c>
      <c r="AJ7">
        <f t="shared" si="9"/>
        <v>76.05</v>
      </c>
      <c r="AK7">
        <f t="shared" si="9"/>
        <v>83.4</v>
      </c>
      <c r="AL7">
        <f t="shared" si="9"/>
        <v>82.35</v>
      </c>
      <c r="AM7">
        <f t="shared" si="9"/>
        <v>54.09</v>
      </c>
    </row>
    <row r="8" spans="1:39" x14ac:dyDescent="0.2">
      <c r="A8" t="s">
        <v>23</v>
      </c>
      <c r="B8" t="s">
        <v>18</v>
      </c>
      <c r="C8">
        <v>3494</v>
      </c>
      <c r="D8">
        <v>3521</v>
      </c>
      <c r="E8">
        <v>3479.2088170000002</v>
      </c>
      <c r="F8">
        <v>3517.8633199999999</v>
      </c>
      <c r="G8">
        <v>3475.490335</v>
      </c>
      <c r="H8">
        <v>3496.006903</v>
      </c>
      <c r="J8">
        <f>ROUND((C8/$C$8)^2,2)</f>
        <v>1</v>
      </c>
      <c r="K8">
        <f t="shared" ref="K8:O8" si="10">ROUND((D8/$C$8)^2,2)</f>
        <v>1.02</v>
      </c>
      <c r="L8">
        <f t="shared" si="10"/>
        <v>0.99</v>
      </c>
      <c r="M8">
        <f t="shared" si="10"/>
        <v>1.01</v>
      </c>
      <c r="N8">
        <f t="shared" si="10"/>
        <v>0.99</v>
      </c>
      <c r="O8">
        <f t="shared" si="10"/>
        <v>1</v>
      </c>
      <c r="Q8" t="s">
        <v>23</v>
      </c>
      <c r="R8">
        <v>0.79590000000000005</v>
      </c>
      <c r="S8">
        <v>0.70199999999999996</v>
      </c>
      <c r="T8">
        <v>0.62769200000000003</v>
      </c>
      <c r="U8">
        <v>0.84367300000000001</v>
      </c>
      <c r="V8">
        <v>0.70721800000000001</v>
      </c>
      <c r="W8">
        <v>0.65878099999999995</v>
      </c>
      <c r="Y8" t="s">
        <v>23</v>
      </c>
      <c r="Z8">
        <f t="shared" si="8"/>
        <v>0</v>
      </c>
      <c r="AA8">
        <f t="shared" si="8"/>
        <v>-2.0000000000000018E-2</v>
      </c>
      <c r="AB8">
        <f t="shared" si="8"/>
        <v>1.0000000000000009E-2</v>
      </c>
      <c r="AC8">
        <f t="shared" si="8"/>
        <v>-1.0000000000000009E-2</v>
      </c>
      <c r="AD8">
        <f t="shared" si="8"/>
        <v>1.0000000000000009E-2</v>
      </c>
      <c r="AE8">
        <f t="shared" si="8"/>
        <v>0</v>
      </c>
      <c r="AG8" t="s">
        <v>23</v>
      </c>
      <c r="AH8">
        <f t="shared" si="9"/>
        <v>62.82</v>
      </c>
      <c r="AI8">
        <f t="shared" si="9"/>
        <v>71.23</v>
      </c>
      <c r="AJ8">
        <f t="shared" si="9"/>
        <v>79.66</v>
      </c>
      <c r="AK8">
        <f t="shared" si="9"/>
        <v>59.26</v>
      </c>
      <c r="AL8">
        <f t="shared" si="9"/>
        <v>70.7</v>
      </c>
      <c r="AM8">
        <f t="shared" si="9"/>
        <v>75.900000000000006</v>
      </c>
    </row>
    <row r="9" spans="1:39" x14ac:dyDescent="0.2">
      <c r="A9" t="s">
        <v>24</v>
      </c>
      <c r="B9" t="s">
        <v>18</v>
      </c>
      <c r="C9">
        <v>2980.1498040000001</v>
      </c>
      <c r="D9">
        <v>3021.3821670000002</v>
      </c>
      <c r="E9">
        <v>2987</v>
      </c>
      <c r="F9">
        <v>2966.9225489999999</v>
      </c>
      <c r="G9">
        <v>2963.6950160000001</v>
      </c>
      <c r="H9">
        <v>2954.9454089999999</v>
      </c>
      <c r="J9">
        <f>ROUND((C9/$C$9)^2,2)</f>
        <v>1</v>
      </c>
      <c r="K9">
        <f t="shared" ref="K9:O9" si="11">ROUND((D9/$C$9)^2,2)</f>
        <v>1.03</v>
      </c>
      <c r="L9">
        <f t="shared" si="11"/>
        <v>1</v>
      </c>
      <c r="M9">
        <f t="shared" si="11"/>
        <v>0.99</v>
      </c>
      <c r="N9">
        <f t="shared" si="11"/>
        <v>0.99</v>
      </c>
      <c r="O9">
        <f t="shared" si="11"/>
        <v>0.98</v>
      </c>
      <c r="Q9" t="s">
        <v>24</v>
      </c>
      <c r="R9">
        <v>0.96656900000000001</v>
      </c>
      <c r="S9">
        <v>2.3635510000000002</v>
      </c>
      <c r="T9">
        <v>1.196</v>
      </c>
      <c r="U9">
        <v>1.7989599999999999</v>
      </c>
      <c r="V9">
        <v>2.453017</v>
      </c>
      <c r="W9">
        <v>0.682226</v>
      </c>
      <c r="Y9" t="s">
        <v>24</v>
      </c>
      <c r="Z9">
        <f t="shared" si="8"/>
        <v>0</v>
      </c>
      <c r="AA9">
        <f t="shared" si="8"/>
        <v>-3.0000000000000027E-2</v>
      </c>
      <c r="AB9">
        <f t="shared" si="8"/>
        <v>0</v>
      </c>
      <c r="AC9">
        <f t="shared" si="8"/>
        <v>1.0000000000000009E-2</v>
      </c>
      <c r="AD9">
        <f t="shared" si="8"/>
        <v>1.0000000000000009E-2</v>
      </c>
      <c r="AE9">
        <f t="shared" si="8"/>
        <v>2.0000000000000018E-2</v>
      </c>
      <c r="AG9" t="s">
        <v>24</v>
      </c>
      <c r="AH9">
        <f t="shared" si="9"/>
        <v>51.73</v>
      </c>
      <c r="AI9">
        <f t="shared" si="9"/>
        <v>21.15</v>
      </c>
      <c r="AJ9">
        <f t="shared" si="9"/>
        <v>41.81</v>
      </c>
      <c r="AK9">
        <f t="shared" si="9"/>
        <v>27.79</v>
      </c>
      <c r="AL9">
        <f t="shared" si="9"/>
        <v>20.38</v>
      </c>
      <c r="AM9">
        <f t="shared" si="9"/>
        <v>73.290000000000006</v>
      </c>
    </row>
    <row r="11" spans="1:39" x14ac:dyDescent="0.2">
      <c r="A11" t="s">
        <v>25</v>
      </c>
      <c r="B11" t="s">
        <v>18</v>
      </c>
      <c r="C11">
        <v>5313</v>
      </c>
      <c r="D11">
        <v>5287</v>
      </c>
      <c r="E11">
        <v>5270</v>
      </c>
      <c r="F11">
        <v>5300.0171140000002</v>
      </c>
      <c r="G11">
        <v>5244.6897440000002</v>
      </c>
      <c r="H11">
        <v>5270.6197179999999</v>
      </c>
      <c r="I11" s="1"/>
      <c r="J11">
        <f>ROUND((C11/$C$11)^2,2)</f>
        <v>1</v>
      </c>
      <c r="K11">
        <f t="shared" ref="K11:O11" si="12">ROUND((D11/$C$11)^2,2)</f>
        <v>0.99</v>
      </c>
      <c r="L11">
        <f t="shared" si="12"/>
        <v>0.98</v>
      </c>
      <c r="M11">
        <f t="shared" si="12"/>
        <v>1</v>
      </c>
      <c r="N11">
        <f t="shared" si="12"/>
        <v>0.97</v>
      </c>
      <c r="O11">
        <f t="shared" si="12"/>
        <v>0.98</v>
      </c>
      <c r="Q11" t="s">
        <v>25</v>
      </c>
      <c r="R11">
        <v>0.60699999999999998</v>
      </c>
      <c r="S11">
        <v>1.073</v>
      </c>
      <c r="T11">
        <v>2.028</v>
      </c>
      <c r="U11">
        <v>0.66903299999999999</v>
      </c>
      <c r="V11">
        <v>1.432763</v>
      </c>
      <c r="W11">
        <v>0.74619599999999997</v>
      </c>
      <c r="Y11" t="s">
        <v>25</v>
      </c>
      <c r="Z11">
        <f t="shared" ref="Z11:AE11" si="13">1-J11</f>
        <v>0</v>
      </c>
      <c r="AA11">
        <f t="shared" si="13"/>
        <v>1.0000000000000009E-2</v>
      </c>
      <c r="AB11">
        <f t="shared" si="13"/>
        <v>2.0000000000000018E-2</v>
      </c>
      <c r="AC11">
        <f t="shared" si="13"/>
        <v>0</v>
      </c>
      <c r="AD11">
        <f t="shared" si="13"/>
        <v>3.0000000000000027E-2</v>
      </c>
      <c r="AE11">
        <f t="shared" si="13"/>
        <v>2.0000000000000018E-2</v>
      </c>
      <c r="AG11" t="s">
        <v>25</v>
      </c>
      <c r="AH11">
        <f t="shared" ref="AH11:AM11" si="14">ROUND((1/(2*R11))*100,2)</f>
        <v>82.37</v>
      </c>
      <c r="AI11">
        <f t="shared" si="14"/>
        <v>46.6</v>
      </c>
      <c r="AJ11">
        <f t="shared" si="14"/>
        <v>24.65</v>
      </c>
      <c r="AK11">
        <f t="shared" si="14"/>
        <v>74.73</v>
      </c>
      <c r="AL11">
        <f t="shared" si="14"/>
        <v>34.9</v>
      </c>
      <c r="AM11">
        <f t="shared" si="14"/>
        <v>67.010000000000005</v>
      </c>
    </row>
    <row r="13" spans="1:39" x14ac:dyDescent="0.2">
      <c r="A13" t="s">
        <v>26</v>
      </c>
      <c r="B13" t="s">
        <v>18</v>
      </c>
      <c r="C13">
        <v>4404</v>
      </c>
      <c r="D13">
        <v>4230</v>
      </c>
      <c r="E13">
        <v>3979</v>
      </c>
      <c r="F13">
        <v>3839.4091840000001</v>
      </c>
      <c r="G13">
        <v>3790.722777</v>
      </c>
      <c r="H13">
        <v>3786.5979510000002</v>
      </c>
      <c r="J13">
        <f>ROUND((C13/$C$13)^2,2)</f>
        <v>1</v>
      </c>
      <c r="K13">
        <f t="shared" ref="K13:O13" si="15">ROUND((D13/$C$13)^2,2)</f>
        <v>0.92</v>
      </c>
      <c r="L13">
        <f t="shared" si="15"/>
        <v>0.82</v>
      </c>
      <c r="M13">
        <f t="shared" si="15"/>
        <v>0.76</v>
      </c>
      <c r="N13">
        <f t="shared" si="15"/>
        <v>0.74</v>
      </c>
      <c r="O13">
        <f t="shared" si="15"/>
        <v>0.74</v>
      </c>
      <c r="Q13" t="s">
        <v>26</v>
      </c>
      <c r="R13">
        <v>0.99450000000000005</v>
      </c>
      <c r="S13">
        <v>1.7190000000000001</v>
      </c>
      <c r="T13">
        <v>1.964</v>
      </c>
      <c r="U13">
        <v>1.975989</v>
      </c>
      <c r="V13">
        <v>1.9954259999999999</v>
      </c>
      <c r="W13">
        <v>1.935203</v>
      </c>
      <c r="Y13" t="s">
        <v>26</v>
      </c>
      <c r="Z13">
        <f t="shared" ref="Z13:AE15" si="16">1-J13</f>
        <v>0</v>
      </c>
      <c r="AA13">
        <f t="shared" si="16"/>
        <v>7.999999999999996E-2</v>
      </c>
      <c r="AB13">
        <f t="shared" si="16"/>
        <v>0.18000000000000005</v>
      </c>
      <c r="AC13">
        <f t="shared" si="16"/>
        <v>0.24</v>
      </c>
      <c r="AD13">
        <f t="shared" si="16"/>
        <v>0.26</v>
      </c>
      <c r="AE13">
        <f t="shared" si="16"/>
        <v>0.26</v>
      </c>
      <c r="AG13" t="s">
        <v>26</v>
      </c>
      <c r="AH13">
        <f t="shared" ref="AH13:AM15" si="17">ROUND((1/(2*R13))*100,2)</f>
        <v>50.28</v>
      </c>
      <c r="AI13">
        <f t="shared" si="17"/>
        <v>29.09</v>
      </c>
      <c r="AJ13">
        <f t="shared" si="17"/>
        <v>25.46</v>
      </c>
      <c r="AK13">
        <f t="shared" si="17"/>
        <v>25.3</v>
      </c>
      <c r="AL13">
        <f t="shared" si="17"/>
        <v>25.06</v>
      </c>
      <c r="AM13">
        <f t="shared" si="17"/>
        <v>25.84</v>
      </c>
    </row>
    <row r="14" spans="1:39" x14ac:dyDescent="0.2">
      <c r="A14" t="s">
        <v>27</v>
      </c>
      <c r="B14" t="s">
        <v>18</v>
      </c>
      <c r="C14">
        <v>4388</v>
      </c>
      <c r="D14">
        <v>4398</v>
      </c>
      <c r="E14">
        <v>4371</v>
      </c>
      <c r="F14">
        <v>4322.439824</v>
      </c>
      <c r="G14">
        <v>4272.602124</v>
      </c>
      <c r="H14">
        <v>4234.5428920000004</v>
      </c>
      <c r="J14">
        <f>ROUND((C14/$C$14)^2,2)</f>
        <v>1</v>
      </c>
      <c r="K14">
        <f t="shared" ref="K14:O14" si="18">ROUND((D14/$C$14)^2,2)</f>
        <v>1</v>
      </c>
      <c r="L14">
        <f t="shared" si="18"/>
        <v>0.99</v>
      </c>
      <c r="M14">
        <f t="shared" si="18"/>
        <v>0.97</v>
      </c>
      <c r="N14">
        <f t="shared" si="18"/>
        <v>0.95</v>
      </c>
      <c r="O14">
        <f t="shared" si="18"/>
        <v>0.93</v>
      </c>
      <c r="Q14" t="s">
        <v>27</v>
      </c>
      <c r="R14">
        <v>0.59150000000000003</v>
      </c>
      <c r="S14">
        <v>0.84989999999999999</v>
      </c>
      <c r="T14">
        <v>0.75270000000000004</v>
      </c>
      <c r="U14">
        <v>1.0509850000000001</v>
      </c>
      <c r="V14">
        <v>0.82505300000000004</v>
      </c>
      <c r="W14">
        <v>0.70533000000000001</v>
      </c>
      <c r="Y14" t="s">
        <v>27</v>
      </c>
      <c r="Z14">
        <f t="shared" si="16"/>
        <v>0</v>
      </c>
      <c r="AA14">
        <f t="shared" si="16"/>
        <v>0</v>
      </c>
      <c r="AB14">
        <f t="shared" si="16"/>
        <v>1.0000000000000009E-2</v>
      </c>
      <c r="AC14">
        <f t="shared" si="16"/>
        <v>3.0000000000000027E-2</v>
      </c>
      <c r="AD14">
        <f t="shared" si="16"/>
        <v>5.0000000000000044E-2</v>
      </c>
      <c r="AE14">
        <f t="shared" si="16"/>
        <v>6.9999999999999951E-2</v>
      </c>
      <c r="AG14" t="s">
        <v>27</v>
      </c>
      <c r="AH14">
        <f t="shared" si="17"/>
        <v>84.53</v>
      </c>
      <c r="AI14">
        <f t="shared" si="17"/>
        <v>58.83</v>
      </c>
      <c r="AJ14">
        <f t="shared" si="17"/>
        <v>66.430000000000007</v>
      </c>
      <c r="AK14">
        <f t="shared" si="17"/>
        <v>47.57</v>
      </c>
      <c r="AL14">
        <f t="shared" si="17"/>
        <v>60.6</v>
      </c>
      <c r="AM14">
        <f t="shared" si="17"/>
        <v>70.89</v>
      </c>
    </row>
    <row r="15" spans="1:39" x14ac:dyDescent="0.2">
      <c r="A15" t="s">
        <v>28</v>
      </c>
      <c r="B15" t="s">
        <v>18</v>
      </c>
      <c r="C15">
        <v>4596</v>
      </c>
      <c r="D15">
        <v>4630</v>
      </c>
      <c r="E15">
        <v>4616</v>
      </c>
      <c r="F15">
        <v>4613.9290270000001</v>
      </c>
      <c r="G15">
        <v>4601.4954399999997</v>
      </c>
      <c r="H15">
        <v>4609.8626249999998</v>
      </c>
      <c r="J15">
        <f>ROUND((C15/$C$15)^2,2)</f>
        <v>1</v>
      </c>
      <c r="K15">
        <f t="shared" ref="K15:N15" si="19">ROUND((D15/$C$15)^2,2)</f>
        <v>1.01</v>
      </c>
      <c r="L15">
        <f t="shared" si="19"/>
        <v>1.01</v>
      </c>
      <c r="M15">
        <f t="shared" si="19"/>
        <v>1.01</v>
      </c>
      <c r="N15">
        <f t="shared" si="19"/>
        <v>1</v>
      </c>
      <c r="O15">
        <f>ROUND((H15/$C$15)^2,2)</f>
        <v>1.01</v>
      </c>
      <c r="Q15" t="s">
        <v>28</v>
      </c>
      <c r="R15">
        <v>0.81130000000000002</v>
      </c>
      <c r="S15">
        <v>0.90739999999999998</v>
      </c>
      <c r="T15">
        <v>0.55059999999999998</v>
      </c>
      <c r="U15">
        <v>0.56581499999999996</v>
      </c>
      <c r="V15">
        <v>0.863815</v>
      </c>
      <c r="W15">
        <v>0.621888</v>
      </c>
      <c r="Y15" t="s">
        <v>28</v>
      </c>
      <c r="Z15">
        <f t="shared" si="16"/>
        <v>0</v>
      </c>
      <c r="AA15">
        <f t="shared" si="16"/>
        <v>-1.0000000000000009E-2</v>
      </c>
      <c r="AB15">
        <f t="shared" si="16"/>
        <v>-1.0000000000000009E-2</v>
      </c>
      <c r="AC15">
        <f t="shared" si="16"/>
        <v>-1.0000000000000009E-2</v>
      </c>
      <c r="AD15">
        <f t="shared" si="16"/>
        <v>0</v>
      </c>
      <c r="AE15">
        <f t="shared" si="16"/>
        <v>-1.0000000000000009E-2</v>
      </c>
      <c r="AG15" t="s">
        <v>28</v>
      </c>
      <c r="AH15">
        <f t="shared" si="17"/>
        <v>61.63</v>
      </c>
      <c r="AI15">
        <f t="shared" si="17"/>
        <v>55.1</v>
      </c>
      <c r="AJ15">
        <f t="shared" si="17"/>
        <v>90.81</v>
      </c>
      <c r="AK15">
        <f t="shared" si="17"/>
        <v>88.37</v>
      </c>
      <c r="AL15">
        <f t="shared" si="17"/>
        <v>57.88</v>
      </c>
      <c r="AM15">
        <f t="shared" si="17"/>
        <v>80.400000000000006</v>
      </c>
    </row>
    <row r="17" spans="1:39" x14ac:dyDescent="0.2">
      <c r="A17" t="s">
        <v>29</v>
      </c>
      <c r="B17" t="s">
        <v>18</v>
      </c>
      <c r="C17">
        <v>6472</v>
      </c>
      <c r="D17">
        <v>6494</v>
      </c>
      <c r="E17">
        <v>6505</v>
      </c>
      <c r="F17">
        <v>6503.5325519999997</v>
      </c>
      <c r="G17">
        <v>6502.5232539999997</v>
      </c>
      <c r="H17">
        <v>6511.4670850000002</v>
      </c>
      <c r="J17">
        <f>ROUND((C17/$C$17)^2,2)</f>
        <v>1</v>
      </c>
      <c r="K17">
        <f t="shared" ref="K17:O17" si="20">ROUND((D17/$C$17)^2,2)</f>
        <v>1.01</v>
      </c>
      <c r="L17">
        <f t="shared" si="20"/>
        <v>1.01</v>
      </c>
      <c r="M17">
        <f t="shared" si="20"/>
        <v>1.01</v>
      </c>
      <c r="N17">
        <f t="shared" si="20"/>
        <v>1.01</v>
      </c>
      <c r="O17">
        <f t="shared" si="20"/>
        <v>1.01</v>
      </c>
      <c r="Q17" t="s">
        <v>29</v>
      </c>
      <c r="R17">
        <v>0.50260000000000005</v>
      </c>
      <c r="S17">
        <v>0.48499999999999999</v>
      </c>
      <c r="T17">
        <v>0.7994</v>
      </c>
      <c r="U17">
        <v>0.48032200000000003</v>
      </c>
      <c r="V17">
        <v>0.55628699999999998</v>
      </c>
      <c r="W17">
        <v>0.74008600000000002</v>
      </c>
      <c r="Y17" t="s">
        <v>29</v>
      </c>
      <c r="Z17">
        <f t="shared" ref="Z17:AE19" si="21">1-J17</f>
        <v>0</v>
      </c>
      <c r="AA17">
        <f t="shared" si="21"/>
        <v>-1.0000000000000009E-2</v>
      </c>
      <c r="AB17">
        <f t="shared" si="21"/>
        <v>-1.0000000000000009E-2</v>
      </c>
      <c r="AC17">
        <f t="shared" si="21"/>
        <v>-1.0000000000000009E-2</v>
      </c>
      <c r="AD17">
        <f t="shared" si="21"/>
        <v>-1.0000000000000009E-2</v>
      </c>
      <c r="AE17">
        <f t="shared" si="21"/>
        <v>-1.0000000000000009E-2</v>
      </c>
      <c r="AG17" t="s">
        <v>29</v>
      </c>
      <c r="AH17">
        <f t="shared" ref="AH17:AM19" si="22">ROUND((1/(2*R17))*100,2)</f>
        <v>99.48</v>
      </c>
      <c r="AI17">
        <f t="shared" si="22"/>
        <v>103.09</v>
      </c>
      <c r="AJ17">
        <f t="shared" si="22"/>
        <v>62.55</v>
      </c>
      <c r="AK17">
        <f t="shared" si="22"/>
        <v>104.1</v>
      </c>
      <c r="AL17">
        <f t="shared" si="22"/>
        <v>89.88</v>
      </c>
      <c r="AM17">
        <f t="shared" si="22"/>
        <v>67.56</v>
      </c>
    </row>
    <row r="18" spans="1:39" x14ac:dyDescent="0.2">
      <c r="A18" t="s">
        <v>30</v>
      </c>
      <c r="B18" t="s">
        <v>18</v>
      </c>
      <c r="C18">
        <v>6073</v>
      </c>
      <c r="D18">
        <v>6101</v>
      </c>
      <c r="E18">
        <v>6097.315184</v>
      </c>
      <c r="F18">
        <v>6101.6898689999998</v>
      </c>
      <c r="G18">
        <v>6094.2729280000003</v>
      </c>
      <c r="H18">
        <v>6062.1921229999998</v>
      </c>
      <c r="J18">
        <f>ROUND((C18/$C$18)^2,2)</f>
        <v>1</v>
      </c>
      <c r="K18">
        <f t="shared" ref="K18:O18" si="23">ROUND((D18/$C$18)^2,2)</f>
        <v>1.01</v>
      </c>
      <c r="L18">
        <f t="shared" si="23"/>
        <v>1.01</v>
      </c>
      <c r="M18">
        <f t="shared" si="23"/>
        <v>1.01</v>
      </c>
      <c r="N18">
        <f t="shared" si="23"/>
        <v>1.01</v>
      </c>
      <c r="O18">
        <f t="shared" si="23"/>
        <v>1</v>
      </c>
      <c r="Q18" t="s">
        <v>30</v>
      </c>
      <c r="R18">
        <v>0.55179999999999996</v>
      </c>
      <c r="S18">
        <v>0.53769999999999996</v>
      </c>
      <c r="T18">
        <v>0.87629000000000001</v>
      </c>
      <c r="U18">
        <v>0.59660299999999999</v>
      </c>
      <c r="V18">
        <v>0.70876600000000001</v>
      </c>
      <c r="W18">
        <v>0.55899799999999999</v>
      </c>
      <c r="Y18" t="s">
        <v>30</v>
      </c>
      <c r="Z18">
        <f t="shared" si="21"/>
        <v>0</v>
      </c>
      <c r="AA18">
        <f t="shared" si="21"/>
        <v>-1.0000000000000009E-2</v>
      </c>
      <c r="AB18">
        <f t="shared" si="21"/>
        <v>-1.0000000000000009E-2</v>
      </c>
      <c r="AC18">
        <f t="shared" si="21"/>
        <v>-1.0000000000000009E-2</v>
      </c>
      <c r="AD18">
        <f t="shared" si="21"/>
        <v>-1.0000000000000009E-2</v>
      </c>
      <c r="AE18">
        <f t="shared" si="21"/>
        <v>0</v>
      </c>
      <c r="AG18" t="s">
        <v>30</v>
      </c>
      <c r="AH18">
        <f t="shared" si="22"/>
        <v>90.61</v>
      </c>
      <c r="AI18">
        <f t="shared" si="22"/>
        <v>92.99</v>
      </c>
      <c r="AJ18">
        <f t="shared" si="22"/>
        <v>57.06</v>
      </c>
      <c r="AK18">
        <f t="shared" si="22"/>
        <v>83.81</v>
      </c>
      <c r="AL18">
        <f t="shared" si="22"/>
        <v>70.55</v>
      </c>
      <c r="AM18">
        <f t="shared" si="22"/>
        <v>89.45</v>
      </c>
    </row>
    <row r="19" spans="1:39" x14ac:dyDescent="0.2">
      <c r="A19" t="s">
        <v>31</v>
      </c>
      <c r="B19" t="s">
        <v>18</v>
      </c>
      <c r="C19">
        <v>6305</v>
      </c>
      <c r="D19">
        <v>6316</v>
      </c>
      <c r="E19">
        <v>6343</v>
      </c>
      <c r="F19">
        <v>6315.200339</v>
      </c>
      <c r="G19">
        <v>6330.6670350000004</v>
      </c>
      <c r="H19">
        <v>6332.1531059999998</v>
      </c>
      <c r="J19">
        <f>ROUND((C19/$C$19)^2,2)</f>
        <v>1</v>
      </c>
      <c r="K19">
        <f t="shared" ref="K19:O19" si="24">ROUND((D19/$C$19)^2,2)</f>
        <v>1</v>
      </c>
      <c r="L19">
        <f t="shared" si="24"/>
        <v>1.01</v>
      </c>
      <c r="M19">
        <f t="shared" si="24"/>
        <v>1</v>
      </c>
      <c r="N19">
        <f t="shared" si="24"/>
        <v>1.01</v>
      </c>
      <c r="O19">
        <f t="shared" si="24"/>
        <v>1.01</v>
      </c>
      <c r="Q19" t="s">
        <v>31</v>
      </c>
      <c r="R19">
        <v>0.56589999999999996</v>
      </c>
      <c r="S19">
        <v>0.76129999999999998</v>
      </c>
      <c r="T19">
        <v>0.98440000000000005</v>
      </c>
      <c r="U19">
        <v>0.46316200000000002</v>
      </c>
      <c r="V19">
        <v>0.51587899999999998</v>
      </c>
      <c r="W19">
        <v>1.1555420000000001</v>
      </c>
      <c r="Y19" t="s">
        <v>31</v>
      </c>
      <c r="Z19">
        <f t="shared" si="21"/>
        <v>0</v>
      </c>
      <c r="AA19">
        <f t="shared" si="21"/>
        <v>0</v>
      </c>
      <c r="AB19">
        <f t="shared" si="21"/>
        <v>-1.0000000000000009E-2</v>
      </c>
      <c r="AC19">
        <f t="shared" si="21"/>
        <v>0</v>
      </c>
      <c r="AD19">
        <f t="shared" si="21"/>
        <v>-1.0000000000000009E-2</v>
      </c>
      <c r="AE19">
        <f t="shared" si="21"/>
        <v>-1.0000000000000009E-2</v>
      </c>
      <c r="AG19" t="s">
        <v>31</v>
      </c>
      <c r="AH19">
        <f t="shared" si="22"/>
        <v>88.35</v>
      </c>
      <c r="AI19">
        <f t="shared" si="22"/>
        <v>65.680000000000007</v>
      </c>
      <c r="AJ19">
        <f t="shared" si="22"/>
        <v>50.79</v>
      </c>
      <c r="AK19">
        <f t="shared" si="22"/>
        <v>107.95</v>
      </c>
      <c r="AL19">
        <f t="shared" si="22"/>
        <v>96.92</v>
      </c>
      <c r="AM19">
        <f t="shared" si="22"/>
        <v>43.27</v>
      </c>
    </row>
    <row r="21" spans="1:39" x14ac:dyDescent="0.2">
      <c r="A21" t="s">
        <v>32</v>
      </c>
      <c r="B21" t="s">
        <v>18</v>
      </c>
      <c r="C21">
        <v>4411</v>
      </c>
      <c r="D21">
        <v>4416</v>
      </c>
      <c r="E21">
        <v>4396.072545</v>
      </c>
      <c r="F21">
        <v>4424.1217729999998</v>
      </c>
      <c r="G21">
        <v>4418.2780730000004</v>
      </c>
      <c r="H21">
        <v>4414.5477790000004</v>
      </c>
      <c r="J21">
        <f>ROUND((C21/$C$21)^2,2)</f>
        <v>1</v>
      </c>
      <c r="K21">
        <f t="shared" ref="K21:O21" si="25">ROUND((D21/$C$21)^2,2)</f>
        <v>1</v>
      </c>
      <c r="L21">
        <f t="shared" si="25"/>
        <v>0.99</v>
      </c>
      <c r="M21">
        <f t="shared" si="25"/>
        <v>1.01</v>
      </c>
      <c r="N21">
        <f t="shared" si="25"/>
        <v>1</v>
      </c>
      <c r="O21">
        <f t="shared" si="25"/>
        <v>1</v>
      </c>
      <c r="Q21" t="s">
        <v>32</v>
      </c>
      <c r="R21">
        <v>0.75880000000000003</v>
      </c>
      <c r="S21">
        <v>0.86529999999999996</v>
      </c>
      <c r="T21">
        <v>0.65794299999999994</v>
      </c>
      <c r="U21">
        <v>0.80949800000000005</v>
      </c>
      <c r="V21">
        <v>0.469418</v>
      </c>
      <c r="W21">
        <v>0.55355100000000002</v>
      </c>
      <c r="Y21" t="s">
        <v>32</v>
      </c>
      <c r="Z21">
        <f t="shared" ref="Z21:AE21" si="26">1-J21</f>
        <v>0</v>
      </c>
      <c r="AA21">
        <f t="shared" si="26"/>
        <v>0</v>
      </c>
      <c r="AB21">
        <f t="shared" si="26"/>
        <v>1.0000000000000009E-2</v>
      </c>
      <c r="AC21">
        <f t="shared" si="26"/>
        <v>-1.0000000000000009E-2</v>
      </c>
      <c r="AD21">
        <f t="shared" si="26"/>
        <v>0</v>
      </c>
      <c r="AE21">
        <f t="shared" si="26"/>
        <v>0</v>
      </c>
      <c r="AG21" t="s">
        <v>32</v>
      </c>
      <c r="AH21">
        <f t="shared" ref="AH21:AM21" si="27">ROUND((1/(2*R21))*100,2)</f>
        <v>65.89</v>
      </c>
      <c r="AI21">
        <f t="shared" si="27"/>
        <v>57.78</v>
      </c>
      <c r="AJ21">
        <f t="shared" si="27"/>
        <v>75.989999999999995</v>
      </c>
      <c r="AK21">
        <f t="shared" si="27"/>
        <v>61.77</v>
      </c>
      <c r="AL21">
        <f t="shared" si="27"/>
        <v>106.51</v>
      </c>
      <c r="AM21">
        <f t="shared" si="27"/>
        <v>90.33</v>
      </c>
    </row>
    <row r="22" spans="1:39" x14ac:dyDescent="0.2">
      <c r="A22" t="s">
        <v>33</v>
      </c>
      <c r="B22" t="s">
        <v>18</v>
      </c>
      <c r="C22">
        <v>4462</v>
      </c>
      <c r="D22">
        <v>4480</v>
      </c>
      <c r="E22">
        <v>4444</v>
      </c>
      <c r="F22">
        <v>4456</v>
      </c>
      <c r="G22">
        <v>3491.3770939999999</v>
      </c>
      <c r="J22">
        <f>ROUND((C22/$C$22)^2,2)</f>
        <v>1</v>
      </c>
      <c r="K22">
        <f t="shared" ref="K22:O22" si="28">ROUND((D22/$C$22)^2,2)</f>
        <v>1.01</v>
      </c>
      <c r="L22">
        <f t="shared" si="28"/>
        <v>0.99</v>
      </c>
      <c r="M22">
        <f t="shared" si="28"/>
        <v>1</v>
      </c>
      <c r="N22">
        <f t="shared" si="28"/>
        <v>0.61</v>
      </c>
      <c r="O22">
        <f t="shared" si="28"/>
        <v>0</v>
      </c>
      <c r="Q22" t="s">
        <v>33</v>
      </c>
      <c r="R22">
        <v>0.72440000000000004</v>
      </c>
      <c r="S22">
        <v>0.73370000000000002</v>
      </c>
      <c r="T22">
        <v>0.90759999999999996</v>
      </c>
      <c r="U22">
        <v>0.78320000000000001</v>
      </c>
      <c r="V22">
        <v>4.8109169999999999</v>
      </c>
      <c r="Y22" t="s">
        <v>33</v>
      </c>
      <c r="Z22">
        <f t="shared" ref="Z22:AD23" si="29">1-J22</f>
        <v>0</v>
      </c>
      <c r="AA22">
        <f t="shared" si="29"/>
        <v>-1.0000000000000009E-2</v>
      </c>
      <c r="AB22">
        <f t="shared" si="29"/>
        <v>1.0000000000000009E-2</v>
      </c>
      <c r="AC22">
        <f t="shared" si="29"/>
        <v>0</v>
      </c>
      <c r="AD22">
        <f t="shared" si="29"/>
        <v>0.39</v>
      </c>
      <c r="AG22" t="s">
        <v>33</v>
      </c>
      <c r="AH22">
        <f t="shared" ref="AH22:AL23" si="30">ROUND((1/(2*R22))*100,2)</f>
        <v>69.02</v>
      </c>
      <c r="AI22">
        <f t="shared" si="30"/>
        <v>68.150000000000006</v>
      </c>
      <c r="AJ22">
        <f t="shared" si="30"/>
        <v>55.09</v>
      </c>
      <c r="AK22">
        <f t="shared" si="30"/>
        <v>63.84</v>
      </c>
      <c r="AL22">
        <f t="shared" si="30"/>
        <v>10.39</v>
      </c>
    </row>
    <row r="23" spans="1:39" x14ac:dyDescent="0.2">
      <c r="A23" t="s">
        <v>34</v>
      </c>
      <c r="B23" t="s">
        <v>18</v>
      </c>
      <c r="C23">
        <v>4706.2685179999999</v>
      </c>
      <c r="D23">
        <v>4753</v>
      </c>
      <c r="E23">
        <v>4704.5249700000004</v>
      </c>
      <c r="F23">
        <v>4717.6425520000003</v>
      </c>
      <c r="G23">
        <v>4715.4095559999996</v>
      </c>
      <c r="H23">
        <v>4718.7672080000002</v>
      </c>
      <c r="J23">
        <f>ROUND((C23/$C$23)^2,2)</f>
        <v>1</v>
      </c>
      <c r="K23">
        <f t="shared" ref="K23:O23" si="31">ROUND((D23/$C$23)^2,2)</f>
        <v>1.02</v>
      </c>
      <c r="L23">
        <f t="shared" si="31"/>
        <v>1</v>
      </c>
      <c r="M23">
        <f t="shared" si="31"/>
        <v>1</v>
      </c>
      <c r="N23">
        <f t="shared" si="31"/>
        <v>1</v>
      </c>
      <c r="O23">
        <f t="shared" si="31"/>
        <v>1.01</v>
      </c>
      <c r="Q23" t="s">
        <v>34</v>
      </c>
      <c r="R23">
        <v>0.68709500000000001</v>
      </c>
      <c r="S23">
        <v>0.79620000000000002</v>
      </c>
      <c r="T23">
        <v>0.79344499999999996</v>
      </c>
      <c r="U23">
        <v>0.77532199999999996</v>
      </c>
      <c r="V23">
        <v>0.70536799999999999</v>
      </c>
      <c r="W23">
        <v>0.63244699999999998</v>
      </c>
      <c r="Y23" t="s">
        <v>34</v>
      </c>
      <c r="Z23">
        <f t="shared" si="29"/>
        <v>0</v>
      </c>
      <c r="AA23">
        <f t="shared" si="29"/>
        <v>-2.0000000000000018E-2</v>
      </c>
      <c r="AB23">
        <f t="shared" si="29"/>
        <v>0</v>
      </c>
      <c r="AC23">
        <f t="shared" si="29"/>
        <v>0</v>
      </c>
      <c r="AD23">
        <f t="shared" si="29"/>
        <v>0</v>
      </c>
      <c r="AE23">
        <f>1-O23</f>
        <v>-1.0000000000000009E-2</v>
      </c>
      <c r="AG23" t="s">
        <v>34</v>
      </c>
      <c r="AH23">
        <f t="shared" si="30"/>
        <v>72.77</v>
      </c>
      <c r="AI23">
        <f t="shared" si="30"/>
        <v>62.8</v>
      </c>
      <c r="AJ23">
        <f t="shared" si="30"/>
        <v>63.02</v>
      </c>
      <c r="AK23">
        <f t="shared" si="30"/>
        <v>64.489999999999995</v>
      </c>
      <c r="AL23">
        <f t="shared" si="30"/>
        <v>70.88</v>
      </c>
      <c r="AM23">
        <f>ROUND((1/(2*W23))*100,2)</f>
        <v>79.06</v>
      </c>
    </row>
    <row r="25" spans="1:39" x14ac:dyDescent="0.2">
      <c r="A25" t="s">
        <v>35</v>
      </c>
      <c r="B25" t="s">
        <v>18</v>
      </c>
      <c r="C25">
        <v>3116</v>
      </c>
      <c r="D25">
        <v>3082</v>
      </c>
      <c r="E25">
        <v>2772</v>
      </c>
      <c r="J25">
        <f>ROUND((C25/$C$25)^2,2)</f>
        <v>1</v>
      </c>
      <c r="K25">
        <f t="shared" ref="K25:L25" si="32">ROUND((D25/$C$25)^2,2)</f>
        <v>0.98</v>
      </c>
      <c r="L25">
        <f t="shared" si="32"/>
        <v>0.79</v>
      </c>
      <c r="Q25" t="s">
        <v>35</v>
      </c>
      <c r="R25">
        <v>0.93859999999999999</v>
      </c>
      <c r="S25">
        <v>1.331</v>
      </c>
      <c r="T25">
        <v>1.635</v>
      </c>
      <c r="Y25" t="s">
        <v>35</v>
      </c>
      <c r="Z25">
        <f>1-J25</f>
        <v>0</v>
      </c>
      <c r="AA25">
        <f>1-K25</f>
        <v>2.0000000000000018E-2</v>
      </c>
      <c r="AB25">
        <f>1-L25</f>
        <v>0.20999999999999996</v>
      </c>
      <c r="AG25" t="s">
        <v>35</v>
      </c>
      <c r="AH25">
        <f>ROUND((1/(2*R25))*100,2)</f>
        <v>53.27</v>
      </c>
      <c r="AI25">
        <f>ROUND((1/(2*S25))*100,2)</f>
        <v>37.57</v>
      </c>
      <c r="AJ25">
        <f>ROUND((1/(2*T25))*100,2)</f>
        <v>30.58</v>
      </c>
    </row>
    <row r="27" spans="1:39" x14ac:dyDescent="0.2">
      <c r="A27" t="s">
        <v>36</v>
      </c>
      <c r="B27" t="s">
        <v>18</v>
      </c>
      <c r="C27" s="2">
        <v>8630</v>
      </c>
      <c r="D27" s="2">
        <v>8508</v>
      </c>
      <c r="E27" s="2">
        <v>8530</v>
      </c>
      <c r="F27" s="2">
        <v>8528.4213039999995</v>
      </c>
      <c r="G27">
        <v>8295.3027029999994</v>
      </c>
      <c r="H27">
        <v>4537.7502050000003</v>
      </c>
      <c r="J27">
        <f>ROUND((C27/$C$27)^2,2)</f>
        <v>1</v>
      </c>
      <c r="K27">
        <f t="shared" ref="K27:O27" si="33">ROUND((D27/$C$27)^2,2)</f>
        <v>0.97</v>
      </c>
      <c r="L27">
        <f t="shared" si="33"/>
        <v>0.98</v>
      </c>
      <c r="M27">
        <f t="shared" si="33"/>
        <v>0.98</v>
      </c>
      <c r="N27">
        <f t="shared" si="33"/>
        <v>0.92</v>
      </c>
      <c r="O27">
        <f t="shared" si="33"/>
        <v>0.28000000000000003</v>
      </c>
      <c r="Q27" t="s">
        <v>36</v>
      </c>
      <c r="R27" s="2">
        <v>1.47</v>
      </c>
      <c r="S27" s="2">
        <v>0.81169999999999998</v>
      </c>
      <c r="T27" s="2">
        <v>1.6970000000000001</v>
      </c>
      <c r="U27" s="2">
        <v>1.5075689999999999</v>
      </c>
      <c r="V27">
        <v>2.0629599999999999</v>
      </c>
      <c r="W27">
        <v>4.9595719999999996</v>
      </c>
      <c r="Y27" t="s">
        <v>36</v>
      </c>
      <c r="Z27">
        <f t="shared" ref="Z27:AE27" si="34">1-J27</f>
        <v>0</v>
      </c>
      <c r="AA27">
        <f t="shared" si="34"/>
        <v>3.0000000000000027E-2</v>
      </c>
      <c r="AB27">
        <f t="shared" si="34"/>
        <v>2.0000000000000018E-2</v>
      </c>
      <c r="AC27">
        <f t="shared" si="34"/>
        <v>2.0000000000000018E-2</v>
      </c>
      <c r="AD27">
        <f t="shared" si="34"/>
        <v>7.999999999999996E-2</v>
      </c>
      <c r="AE27">
        <f t="shared" si="34"/>
        <v>0.72</v>
      </c>
      <c r="AG27" t="s">
        <v>36</v>
      </c>
      <c r="AH27">
        <f t="shared" ref="AH27:AM27" si="35">ROUND((1/(2*R27))*100,2)</f>
        <v>34.01</v>
      </c>
      <c r="AI27">
        <f t="shared" si="35"/>
        <v>61.6</v>
      </c>
      <c r="AJ27">
        <f t="shared" si="35"/>
        <v>29.46</v>
      </c>
      <c r="AK27">
        <f t="shared" si="35"/>
        <v>33.17</v>
      </c>
      <c r="AL27">
        <f t="shared" si="35"/>
        <v>24.24</v>
      </c>
      <c r="AM27">
        <f t="shared" si="35"/>
        <v>10.08</v>
      </c>
    </row>
    <row r="28" spans="1:39" x14ac:dyDescent="0.2">
      <c r="A28" t="s">
        <v>37</v>
      </c>
      <c r="B28" t="s">
        <v>18</v>
      </c>
      <c r="C28">
        <v>7892</v>
      </c>
      <c r="D28">
        <v>7875</v>
      </c>
      <c r="E28">
        <v>7826.2935909999997</v>
      </c>
      <c r="F28">
        <v>6832.956048</v>
      </c>
      <c r="G28">
        <v>5652.5581949999996</v>
      </c>
      <c r="J28">
        <f>ROUND((C28/$C$28)^2,2)</f>
        <v>1</v>
      </c>
      <c r="K28">
        <f t="shared" ref="K28:N28" si="36">ROUND((D28/$C$28)^2,2)</f>
        <v>1</v>
      </c>
      <c r="L28">
        <f t="shared" si="36"/>
        <v>0.98</v>
      </c>
      <c r="M28">
        <f t="shared" si="36"/>
        <v>0.75</v>
      </c>
      <c r="N28">
        <f t="shared" si="36"/>
        <v>0.51</v>
      </c>
      <c r="Q28" t="s">
        <v>37</v>
      </c>
      <c r="R28">
        <v>1.421</v>
      </c>
      <c r="S28">
        <v>1.268</v>
      </c>
      <c r="T28">
        <v>1.5132909999999999</v>
      </c>
      <c r="U28">
        <v>2.1624050000000001</v>
      </c>
      <c r="V28">
        <v>6.9019389999999996</v>
      </c>
      <c r="Y28" t="s">
        <v>37</v>
      </c>
      <c r="Z28">
        <f t="shared" ref="Z28:AD29" si="37">1-J28</f>
        <v>0</v>
      </c>
      <c r="AA28">
        <f t="shared" si="37"/>
        <v>0</v>
      </c>
      <c r="AB28">
        <f t="shared" si="37"/>
        <v>2.0000000000000018E-2</v>
      </c>
      <c r="AC28">
        <f t="shared" si="37"/>
        <v>0.25</v>
      </c>
      <c r="AD28">
        <f t="shared" si="37"/>
        <v>0.49</v>
      </c>
      <c r="AG28" t="s">
        <v>37</v>
      </c>
      <c r="AH28">
        <f t="shared" ref="AH28:AL29" si="38">ROUND((1/(2*R28))*100,2)</f>
        <v>35.19</v>
      </c>
      <c r="AI28">
        <f t="shared" si="38"/>
        <v>39.43</v>
      </c>
      <c r="AJ28">
        <f t="shared" si="38"/>
        <v>33.04</v>
      </c>
      <c r="AK28">
        <f t="shared" si="38"/>
        <v>23.12</v>
      </c>
      <c r="AL28">
        <f t="shared" si="38"/>
        <v>7.24</v>
      </c>
    </row>
    <row r="29" spans="1:39" x14ac:dyDescent="0.2">
      <c r="A29" t="s">
        <v>38</v>
      </c>
      <c r="B29" t="s">
        <v>18</v>
      </c>
      <c r="C29">
        <v>8621</v>
      </c>
      <c r="D29">
        <v>8528</v>
      </c>
      <c r="E29">
        <v>8426.9388920000001</v>
      </c>
      <c r="F29">
        <v>7393.6928150000003</v>
      </c>
      <c r="G29">
        <v>4549.1239180000002</v>
      </c>
      <c r="J29">
        <f>ROUND((C29/$C$29)^2,2)</f>
        <v>1</v>
      </c>
      <c r="K29">
        <f t="shared" ref="K29:N29" si="39">ROUND((D29/$C$29)^2,2)</f>
        <v>0.98</v>
      </c>
      <c r="L29">
        <f t="shared" si="39"/>
        <v>0.96</v>
      </c>
      <c r="M29">
        <f t="shared" si="39"/>
        <v>0.74</v>
      </c>
      <c r="N29">
        <f t="shared" si="39"/>
        <v>0.28000000000000003</v>
      </c>
      <c r="Q29" t="s">
        <v>38</v>
      </c>
      <c r="R29">
        <v>1.0660000000000001</v>
      </c>
      <c r="S29">
        <v>1.4059999999999999</v>
      </c>
      <c r="T29">
        <v>1.857229</v>
      </c>
      <c r="U29">
        <v>1.940105</v>
      </c>
      <c r="V29">
        <v>2.3301609999999999</v>
      </c>
      <c r="Y29" t="s">
        <v>38</v>
      </c>
      <c r="Z29">
        <f t="shared" si="37"/>
        <v>0</v>
      </c>
      <c r="AA29">
        <f t="shared" si="37"/>
        <v>2.0000000000000018E-2</v>
      </c>
      <c r="AB29">
        <f t="shared" si="37"/>
        <v>4.0000000000000036E-2</v>
      </c>
      <c r="AC29">
        <f t="shared" si="37"/>
        <v>0.26</v>
      </c>
      <c r="AD29">
        <f t="shared" si="37"/>
        <v>0.72</v>
      </c>
      <c r="AG29" t="s">
        <v>38</v>
      </c>
      <c r="AH29">
        <f t="shared" si="38"/>
        <v>46.9</v>
      </c>
      <c r="AI29">
        <f t="shared" si="38"/>
        <v>35.56</v>
      </c>
      <c r="AJ29">
        <f t="shared" si="38"/>
        <v>26.92</v>
      </c>
      <c r="AK29">
        <f t="shared" si="38"/>
        <v>25.77</v>
      </c>
      <c r="AL29">
        <f t="shared" si="38"/>
        <v>21.46</v>
      </c>
    </row>
  </sheetData>
  <mergeCells count="5">
    <mergeCell ref="C1:H1"/>
    <mergeCell ref="J1:O1"/>
    <mergeCell ref="R1:W1"/>
    <mergeCell ref="Z1:AE1"/>
    <mergeCell ref="AH1:A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2E87-4BFB-AF45-A6D4-5C6C78426521}">
  <dimension ref="A1:AM19"/>
  <sheetViews>
    <sheetView tabSelected="1" topLeftCell="I1" zoomScale="125" workbookViewId="0">
      <selection activeCell="AP16" sqref="AP16"/>
    </sheetView>
  </sheetViews>
  <sheetFormatPr baseColWidth="10" defaultRowHeight="16" x14ac:dyDescent="0.2"/>
  <sheetData>
    <row r="1" spans="1:39" s="3" customFormat="1" x14ac:dyDescent="0.2">
      <c r="C1" s="5" t="s">
        <v>16</v>
      </c>
      <c r="D1" s="5"/>
      <c r="E1" s="5"/>
      <c r="F1" s="5"/>
      <c r="G1" s="5"/>
      <c r="H1" s="5"/>
      <c r="J1" s="5" t="s">
        <v>4</v>
      </c>
      <c r="K1" s="5"/>
      <c r="L1" s="5"/>
      <c r="M1" s="5"/>
      <c r="N1" s="5"/>
      <c r="O1" s="5"/>
      <c r="P1" s="4"/>
      <c r="R1" s="5" t="s">
        <v>39</v>
      </c>
      <c r="S1" s="5"/>
      <c r="T1" s="5"/>
      <c r="U1" s="5"/>
      <c r="V1" s="5"/>
      <c r="W1" s="5"/>
      <c r="X1" s="4"/>
      <c r="Z1" s="5" t="s">
        <v>40</v>
      </c>
      <c r="AA1" s="5"/>
      <c r="AB1" s="5"/>
      <c r="AC1" s="5"/>
      <c r="AD1" s="5"/>
      <c r="AE1" s="5"/>
      <c r="AF1" s="4"/>
      <c r="AH1" s="5" t="s">
        <v>17</v>
      </c>
      <c r="AI1" s="5"/>
      <c r="AJ1" s="5"/>
      <c r="AK1" s="5"/>
      <c r="AL1" s="5"/>
      <c r="AM1" s="5"/>
    </row>
    <row r="2" spans="1:39" s="3" customFormat="1" x14ac:dyDescent="0.2">
      <c r="A2" s="3" t="s">
        <v>5</v>
      </c>
      <c r="B2" s="3" t="s">
        <v>3</v>
      </c>
      <c r="C2" s="3">
        <v>0</v>
      </c>
      <c r="D2" s="3">
        <v>10</v>
      </c>
      <c r="E2" s="3">
        <v>31</v>
      </c>
      <c r="F2" s="3">
        <v>52</v>
      </c>
      <c r="G2" s="3">
        <v>73</v>
      </c>
      <c r="H2" s="3">
        <v>94</v>
      </c>
      <c r="J2" s="3">
        <v>0</v>
      </c>
      <c r="K2" s="3">
        <v>10</v>
      </c>
      <c r="L2" s="3">
        <v>31</v>
      </c>
      <c r="M2" s="3">
        <v>52</v>
      </c>
      <c r="N2" s="3">
        <v>73</v>
      </c>
      <c r="O2" s="3">
        <v>94</v>
      </c>
      <c r="R2" s="3">
        <v>0</v>
      </c>
      <c r="S2" s="3">
        <v>10</v>
      </c>
      <c r="T2" s="3">
        <v>31</v>
      </c>
      <c r="U2" s="3">
        <v>52</v>
      </c>
      <c r="V2" s="3">
        <v>73</v>
      </c>
      <c r="W2" s="3">
        <v>94</v>
      </c>
      <c r="Z2" s="3">
        <v>0</v>
      </c>
      <c r="AA2" s="3">
        <v>10</v>
      </c>
      <c r="AB2" s="3">
        <v>31</v>
      </c>
      <c r="AC2" s="3">
        <v>52</v>
      </c>
      <c r="AD2" s="3">
        <v>73</v>
      </c>
      <c r="AE2" s="3">
        <v>94</v>
      </c>
      <c r="AH2" s="3">
        <v>0</v>
      </c>
      <c r="AI2" s="3">
        <v>10</v>
      </c>
      <c r="AJ2" s="3">
        <v>31</v>
      </c>
      <c r="AK2" s="3">
        <v>52</v>
      </c>
      <c r="AL2" s="3">
        <v>73</v>
      </c>
      <c r="AM2" s="3">
        <v>94</v>
      </c>
    </row>
    <row r="3" spans="1:39" x14ac:dyDescent="0.2">
      <c r="A3" t="s">
        <v>6</v>
      </c>
      <c r="B3" t="s">
        <v>0</v>
      </c>
      <c r="C3">
        <v>2590</v>
      </c>
      <c r="D3">
        <v>2632.892065</v>
      </c>
      <c r="E3">
        <v>2592.2922960000001</v>
      </c>
      <c r="F3">
        <v>2523.7531650000001</v>
      </c>
      <c r="G3">
        <v>2501.9301650000002</v>
      </c>
      <c r="H3">
        <v>2499.75603</v>
      </c>
      <c r="J3">
        <f>ROUND((C3/$C$3)^2,2)</f>
        <v>1</v>
      </c>
      <c r="K3">
        <f t="shared" ref="K3:O3" si="0">ROUND((D3/$C$3)^2,2)</f>
        <v>1.03</v>
      </c>
      <c r="L3">
        <f t="shared" si="0"/>
        <v>1</v>
      </c>
      <c r="M3">
        <f t="shared" si="0"/>
        <v>0.95</v>
      </c>
      <c r="N3">
        <f t="shared" si="0"/>
        <v>0.93</v>
      </c>
      <c r="O3">
        <f t="shared" si="0"/>
        <v>0.93</v>
      </c>
      <c r="Q3" t="s">
        <v>6</v>
      </c>
      <c r="R3">
        <v>0.72689999999999999</v>
      </c>
      <c r="S3">
        <v>0.55627499999999996</v>
      </c>
      <c r="T3">
        <v>0.833233</v>
      </c>
      <c r="U3">
        <v>0.87335499999999999</v>
      </c>
      <c r="V3">
        <v>0.88117800000000002</v>
      </c>
      <c r="W3">
        <v>1.017641</v>
      </c>
      <c r="Y3" t="s">
        <v>6</v>
      </c>
      <c r="Z3">
        <f>1-J3</f>
        <v>0</v>
      </c>
      <c r="AA3">
        <f>1-K3</f>
        <v>-3.0000000000000027E-2</v>
      </c>
      <c r="AB3">
        <f>1-L3</f>
        <v>0</v>
      </c>
      <c r="AC3">
        <f>1-M3</f>
        <v>5.0000000000000044E-2</v>
      </c>
      <c r="AD3">
        <f>1-N3</f>
        <v>6.9999999999999951E-2</v>
      </c>
      <c r="AE3">
        <f>1-O3</f>
        <v>6.9999999999999951E-2</v>
      </c>
      <c r="AG3" t="s">
        <v>6</v>
      </c>
      <c r="AH3">
        <f>ROUND((1/(2*R3))*100,2)</f>
        <v>68.790000000000006</v>
      </c>
      <c r="AI3">
        <f t="shared" ref="AI3:AM3" si="1">ROUND((1/(2*S3))*100,2)</f>
        <v>89.88</v>
      </c>
      <c r="AJ3">
        <f t="shared" si="1"/>
        <v>60.01</v>
      </c>
      <c r="AK3">
        <f t="shared" si="1"/>
        <v>57.25</v>
      </c>
      <c r="AL3">
        <f t="shared" si="1"/>
        <v>56.74</v>
      </c>
      <c r="AM3">
        <f t="shared" si="1"/>
        <v>49.13</v>
      </c>
    </row>
    <row r="4" spans="1:39" x14ac:dyDescent="0.2">
      <c r="A4" t="s">
        <v>7</v>
      </c>
      <c r="B4" t="s">
        <v>0</v>
      </c>
      <c r="C4">
        <v>3165</v>
      </c>
      <c r="D4">
        <v>3198.7232220000001</v>
      </c>
      <c r="E4">
        <v>3162.4764420000001</v>
      </c>
      <c r="F4">
        <v>3129.916041</v>
      </c>
      <c r="G4">
        <v>3119.2301480000001</v>
      </c>
      <c r="H4">
        <v>3116.3371609999999</v>
      </c>
      <c r="J4">
        <f>ROUND((C4/$C$4)^2,2)</f>
        <v>1</v>
      </c>
      <c r="K4">
        <f t="shared" ref="K4:O4" si="2">ROUND((D4/$C$4)^2,2)</f>
        <v>1.02</v>
      </c>
      <c r="L4">
        <f t="shared" si="2"/>
        <v>1</v>
      </c>
      <c r="M4">
        <f t="shared" si="2"/>
        <v>0.98</v>
      </c>
      <c r="N4">
        <f t="shared" si="2"/>
        <v>0.97</v>
      </c>
      <c r="O4">
        <f t="shared" si="2"/>
        <v>0.97</v>
      </c>
      <c r="Q4" t="s">
        <v>7</v>
      </c>
      <c r="R4">
        <v>0.5363</v>
      </c>
      <c r="S4">
        <v>0.53063800000000005</v>
      </c>
      <c r="T4">
        <v>0.55965299999999996</v>
      </c>
      <c r="U4">
        <v>0.59792999999999996</v>
      </c>
      <c r="V4">
        <v>0.56157100000000004</v>
      </c>
      <c r="W4">
        <v>0.56594800000000001</v>
      </c>
      <c r="Y4" t="s">
        <v>7</v>
      </c>
      <c r="Z4">
        <f>1-J4</f>
        <v>0</v>
      </c>
      <c r="AA4">
        <f>1-K4</f>
        <v>-2.0000000000000018E-2</v>
      </c>
      <c r="AB4">
        <f>1-L4</f>
        <v>0</v>
      </c>
      <c r="AC4">
        <f>1-M4</f>
        <v>2.0000000000000018E-2</v>
      </c>
      <c r="AD4">
        <f>1-N4</f>
        <v>3.0000000000000027E-2</v>
      </c>
      <c r="AE4">
        <f>1-O4</f>
        <v>3.0000000000000027E-2</v>
      </c>
      <c r="AG4" t="s">
        <v>7</v>
      </c>
      <c r="AH4">
        <f>ROUND((1/(2*R4))*100,2)</f>
        <v>93.23</v>
      </c>
      <c r="AI4">
        <f t="shared" ref="AI4:AM5" si="3">ROUND((1/(2*S4))*100,2)</f>
        <v>94.23</v>
      </c>
      <c r="AJ4">
        <f t="shared" si="3"/>
        <v>89.34</v>
      </c>
      <c r="AK4">
        <f t="shared" si="3"/>
        <v>83.62</v>
      </c>
      <c r="AL4">
        <f t="shared" si="3"/>
        <v>89.04</v>
      </c>
      <c r="AM4">
        <f t="shared" si="3"/>
        <v>88.35</v>
      </c>
    </row>
    <row r="5" spans="1:39" x14ac:dyDescent="0.2">
      <c r="A5" t="s">
        <v>8</v>
      </c>
      <c r="B5" t="s">
        <v>0</v>
      </c>
      <c r="C5">
        <v>1579.0159470000001</v>
      </c>
      <c r="D5">
        <v>1594.1474720000001</v>
      </c>
      <c r="E5">
        <v>1572.1079540000001</v>
      </c>
      <c r="F5">
        <v>1570.6879100000001</v>
      </c>
      <c r="G5">
        <v>1558.6311900000001</v>
      </c>
      <c r="H5">
        <v>1566.5399259999999</v>
      </c>
      <c r="J5">
        <f>ROUND((C5/$C$5)^2,2)</f>
        <v>1</v>
      </c>
      <c r="K5">
        <f t="shared" ref="K5:O5" si="4">ROUND((D5/$C$5)^2,2)</f>
        <v>1.02</v>
      </c>
      <c r="L5">
        <f t="shared" si="4"/>
        <v>0.99</v>
      </c>
      <c r="M5">
        <f t="shared" si="4"/>
        <v>0.99</v>
      </c>
      <c r="N5">
        <f t="shared" si="4"/>
        <v>0.97</v>
      </c>
      <c r="O5">
        <f t="shared" si="4"/>
        <v>0.98</v>
      </c>
      <c r="Q5" t="s">
        <v>8</v>
      </c>
      <c r="R5">
        <v>0.68696699999999999</v>
      </c>
      <c r="S5">
        <v>0.82577299999999998</v>
      </c>
      <c r="T5">
        <v>0.64798299999999998</v>
      </c>
      <c r="U5">
        <v>0.63140099999999999</v>
      </c>
      <c r="V5">
        <v>0.77081500000000003</v>
      </c>
      <c r="W5">
        <v>0.768571</v>
      </c>
      <c r="Y5" t="s">
        <v>8</v>
      </c>
      <c r="Z5">
        <f>1-J5</f>
        <v>0</v>
      </c>
      <c r="AA5">
        <f>1-K5</f>
        <v>-2.0000000000000018E-2</v>
      </c>
      <c r="AB5">
        <f>1-L5</f>
        <v>1.0000000000000009E-2</v>
      </c>
      <c r="AC5">
        <f>1-M5</f>
        <v>1.0000000000000009E-2</v>
      </c>
      <c r="AD5">
        <f>1-N5</f>
        <v>3.0000000000000027E-2</v>
      </c>
      <c r="AE5">
        <f>1-O5</f>
        <v>2.0000000000000018E-2</v>
      </c>
      <c r="AG5" t="s">
        <v>8</v>
      </c>
      <c r="AH5">
        <f>ROUND((1/(2*R5))*100,2)</f>
        <v>72.78</v>
      </c>
      <c r="AI5">
        <f t="shared" si="3"/>
        <v>60.55</v>
      </c>
      <c r="AJ5">
        <f t="shared" si="3"/>
        <v>77.16</v>
      </c>
      <c r="AK5">
        <f t="shared" si="3"/>
        <v>79.19</v>
      </c>
      <c r="AL5">
        <f t="shared" si="3"/>
        <v>64.87</v>
      </c>
      <c r="AM5">
        <f t="shared" si="3"/>
        <v>65.06</v>
      </c>
    </row>
    <row r="7" spans="1:39" x14ac:dyDescent="0.2">
      <c r="A7" t="s">
        <v>9</v>
      </c>
      <c r="B7" t="s">
        <v>0</v>
      </c>
      <c r="C7">
        <v>1955.555341</v>
      </c>
      <c r="D7">
        <v>1946</v>
      </c>
      <c r="E7">
        <v>1917.8984829999999</v>
      </c>
      <c r="F7">
        <v>1913.972745</v>
      </c>
      <c r="G7">
        <v>1882.4411339999999</v>
      </c>
      <c r="H7">
        <v>1832.1823010000001</v>
      </c>
      <c r="J7">
        <f>ROUND((C7/$C$7)^2,2)</f>
        <v>1</v>
      </c>
      <c r="K7">
        <f t="shared" ref="K7:O7" si="5">ROUND((D7/$C$7)^2,2)</f>
        <v>0.99</v>
      </c>
      <c r="L7">
        <f t="shared" si="5"/>
        <v>0.96</v>
      </c>
      <c r="M7">
        <f t="shared" si="5"/>
        <v>0.96</v>
      </c>
      <c r="N7">
        <f t="shared" si="5"/>
        <v>0.93</v>
      </c>
      <c r="O7">
        <f t="shared" si="5"/>
        <v>0.88</v>
      </c>
      <c r="Q7" t="s">
        <v>9</v>
      </c>
      <c r="R7">
        <v>0.509436</v>
      </c>
      <c r="S7">
        <v>0.84440000000000004</v>
      </c>
      <c r="T7">
        <v>0.61233800000000005</v>
      </c>
      <c r="U7">
        <v>0.53767900000000002</v>
      </c>
      <c r="V7">
        <v>0.692577</v>
      </c>
      <c r="W7">
        <v>0.82311999999999996</v>
      </c>
      <c r="Y7" t="s">
        <v>9</v>
      </c>
      <c r="Z7">
        <f>1-J7</f>
        <v>0</v>
      </c>
      <c r="AA7">
        <f>1-K7</f>
        <v>1.0000000000000009E-2</v>
      </c>
      <c r="AB7">
        <f>1-L7</f>
        <v>4.0000000000000036E-2</v>
      </c>
      <c r="AC7">
        <f>1-M7</f>
        <v>4.0000000000000036E-2</v>
      </c>
      <c r="AD7">
        <f>1-N7</f>
        <v>6.9999999999999951E-2</v>
      </c>
      <c r="AE7">
        <f>1-O7</f>
        <v>0.12</v>
      </c>
      <c r="AG7" t="s">
        <v>9</v>
      </c>
      <c r="AH7">
        <f t="shared" ref="AH7:AM11" si="6">ROUND((1/(2*R7))*100,2)</f>
        <v>98.15</v>
      </c>
      <c r="AI7">
        <f t="shared" si="6"/>
        <v>59.21</v>
      </c>
      <c r="AJ7">
        <f t="shared" si="6"/>
        <v>81.650000000000006</v>
      </c>
      <c r="AK7">
        <f t="shared" si="6"/>
        <v>92.99</v>
      </c>
      <c r="AL7">
        <f t="shared" si="6"/>
        <v>72.19</v>
      </c>
      <c r="AM7">
        <f t="shared" si="6"/>
        <v>60.74</v>
      </c>
    </row>
    <row r="8" spans="1:39" x14ac:dyDescent="0.2">
      <c r="A8" t="s">
        <v>10</v>
      </c>
      <c r="B8" t="s">
        <v>0</v>
      </c>
      <c r="C8">
        <v>1523.199245</v>
      </c>
      <c r="D8">
        <v>1516.8331029999999</v>
      </c>
      <c r="E8">
        <v>1452.132347</v>
      </c>
      <c r="F8">
        <v>1381.3858339999999</v>
      </c>
      <c r="G8">
        <v>1329.9723120000001</v>
      </c>
      <c r="H8">
        <v>1395.8455670000001</v>
      </c>
      <c r="J8">
        <f>ROUND((C8/$C$8)^2,2)</f>
        <v>1</v>
      </c>
      <c r="K8">
        <f t="shared" ref="K8:O8" si="7">ROUND((D8/$C$8)^2,2)</f>
        <v>0.99</v>
      </c>
      <c r="L8">
        <f t="shared" si="7"/>
        <v>0.91</v>
      </c>
      <c r="M8">
        <f t="shared" si="7"/>
        <v>0.82</v>
      </c>
      <c r="N8">
        <f t="shared" si="7"/>
        <v>0.76</v>
      </c>
      <c r="O8">
        <f t="shared" si="7"/>
        <v>0.84</v>
      </c>
      <c r="Q8" t="s">
        <v>10</v>
      </c>
      <c r="R8">
        <v>1.825162</v>
      </c>
      <c r="S8">
        <v>2.9493770000000001</v>
      </c>
      <c r="T8">
        <v>3.7532480000000001</v>
      </c>
      <c r="U8">
        <v>4.0223740000000001</v>
      </c>
      <c r="V8">
        <v>5.521026</v>
      </c>
      <c r="W8">
        <v>5.616028</v>
      </c>
      <c r="Y8" t="s">
        <v>10</v>
      </c>
      <c r="Z8">
        <f>1-J8</f>
        <v>0</v>
      </c>
      <c r="AA8">
        <f>1-K8</f>
        <v>1.0000000000000009E-2</v>
      </c>
      <c r="AB8">
        <f>1-L8</f>
        <v>8.9999999999999969E-2</v>
      </c>
      <c r="AC8">
        <f>1-M8</f>
        <v>0.18000000000000005</v>
      </c>
      <c r="AD8">
        <f>1-N8</f>
        <v>0.24</v>
      </c>
      <c r="AE8">
        <f>1-O8</f>
        <v>0.16000000000000003</v>
      </c>
      <c r="AG8" t="s">
        <v>10</v>
      </c>
      <c r="AH8">
        <f t="shared" si="6"/>
        <v>27.39</v>
      </c>
      <c r="AI8">
        <f t="shared" si="6"/>
        <v>16.95</v>
      </c>
      <c r="AJ8">
        <f t="shared" si="6"/>
        <v>13.32</v>
      </c>
      <c r="AK8">
        <f t="shared" si="6"/>
        <v>12.43</v>
      </c>
      <c r="AL8">
        <f t="shared" si="6"/>
        <v>9.06</v>
      </c>
      <c r="AM8">
        <f t="shared" si="6"/>
        <v>8.9</v>
      </c>
    </row>
    <row r="9" spans="1:39" x14ac:dyDescent="0.2">
      <c r="A9" t="s">
        <v>11</v>
      </c>
      <c r="B9" t="s">
        <v>0</v>
      </c>
      <c r="C9">
        <v>2000.822838</v>
      </c>
      <c r="D9">
        <v>2003.3928539999999</v>
      </c>
      <c r="E9">
        <v>1996.0793209999999</v>
      </c>
      <c r="F9">
        <v>1999.601324</v>
      </c>
      <c r="G9">
        <v>1996.2526190000001</v>
      </c>
      <c r="H9">
        <v>2005.202916</v>
      </c>
      <c r="J9">
        <f>ROUND((C9/$C$9)^2,2)</f>
        <v>1</v>
      </c>
      <c r="K9">
        <f t="shared" ref="K9:O9" si="8">ROUND((D9/$C$9)^2,2)</f>
        <v>1</v>
      </c>
      <c r="L9">
        <f t="shared" si="8"/>
        <v>1</v>
      </c>
      <c r="M9">
        <f t="shared" si="8"/>
        <v>1</v>
      </c>
      <c r="N9">
        <f t="shared" si="8"/>
        <v>1</v>
      </c>
      <c r="O9">
        <f t="shared" si="8"/>
        <v>1</v>
      </c>
      <c r="Q9" t="s">
        <v>11</v>
      </c>
      <c r="R9">
        <v>0.42474000000000001</v>
      </c>
      <c r="S9">
        <v>0.44313799999999998</v>
      </c>
      <c r="T9">
        <v>0.389901</v>
      </c>
      <c r="U9">
        <v>0.39029199999999997</v>
      </c>
      <c r="V9">
        <v>0.39456999999999998</v>
      </c>
      <c r="W9">
        <v>0.555311</v>
      </c>
      <c r="Y9" t="s">
        <v>11</v>
      </c>
      <c r="Z9">
        <f>1-J9</f>
        <v>0</v>
      </c>
      <c r="AA9">
        <f>1-K9</f>
        <v>0</v>
      </c>
      <c r="AB9">
        <f>1-L9</f>
        <v>0</v>
      </c>
      <c r="AC9">
        <f>1-M9</f>
        <v>0</v>
      </c>
      <c r="AD9">
        <f>1-N9</f>
        <v>0</v>
      </c>
      <c r="AE9">
        <f>1-O9</f>
        <v>0</v>
      </c>
      <c r="AG9" t="s">
        <v>11</v>
      </c>
      <c r="AH9">
        <f t="shared" si="6"/>
        <v>117.72</v>
      </c>
      <c r="AI9">
        <f t="shared" si="6"/>
        <v>112.83</v>
      </c>
      <c r="AJ9">
        <f t="shared" si="6"/>
        <v>128.24</v>
      </c>
      <c r="AK9">
        <f t="shared" si="6"/>
        <v>128.11000000000001</v>
      </c>
      <c r="AL9">
        <f t="shared" si="6"/>
        <v>126.72</v>
      </c>
      <c r="AM9">
        <f t="shared" si="6"/>
        <v>90.04</v>
      </c>
    </row>
    <row r="10" spans="1:39" x14ac:dyDescent="0.2">
      <c r="A10" t="s">
        <v>12</v>
      </c>
      <c r="B10" t="s">
        <v>0</v>
      </c>
      <c r="C10">
        <v>2986</v>
      </c>
      <c r="D10">
        <v>2993.18415</v>
      </c>
      <c r="E10">
        <v>2984.603439</v>
      </c>
      <c r="F10">
        <v>2988.162707</v>
      </c>
      <c r="G10">
        <v>2980.5679960000002</v>
      </c>
      <c r="H10">
        <v>2964.3000910000001</v>
      </c>
      <c r="J10">
        <f>ROUND((C10/$C$10)^2,2)</f>
        <v>1</v>
      </c>
      <c r="K10">
        <f t="shared" ref="K10:O10" si="9">ROUND((D10/$C$10)^2,2)</f>
        <v>1</v>
      </c>
      <c r="L10">
        <f t="shared" si="9"/>
        <v>1</v>
      </c>
      <c r="M10">
        <f t="shared" si="9"/>
        <v>1</v>
      </c>
      <c r="N10">
        <f t="shared" si="9"/>
        <v>1</v>
      </c>
      <c r="O10">
        <f t="shared" si="9"/>
        <v>0.99</v>
      </c>
      <c r="Q10" t="s">
        <v>12</v>
      </c>
      <c r="R10">
        <v>0.32879999999999998</v>
      </c>
      <c r="S10">
        <v>0.32366299999999998</v>
      </c>
      <c r="T10">
        <v>0.472136</v>
      </c>
      <c r="U10">
        <v>0.41030299999999997</v>
      </c>
      <c r="V10">
        <v>0.40523900000000002</v>
      </c>
      <c r="W10">
        <v>0.43609199999999998</v>
      </c>
      <c r="Y10" t="s">
        <v>12</v>
      </c>
      <c r="Z10">
        <f>1-J10</f>
        <v>0</v>
      </c>
      <c r="AA10">
        <f>1-K10</f>
        <v>0</v>
      </c>
      <c r="AB10">
        <f>1-L10</f>
        <v>0</v>
      </c>
      <c r="AC10">
        <f>1-M10</f>
        <v>0</v>
      </c>
      <c r="AD10">
        <f>1-N10</f>
        <v>0</v>
      </c>
      <c r="AE10">
        <f>1-O10</f>
        <v>1.0000000000000009E-2</v>
      </c>
      <c r="AG10" t="s">
        <v>12</v>
      </c>
      <c r="AH10">
        <f t="shared" si="6"/>
        <v>152.07</v>
      </c>
      <c r="AI10">
        <f t="shared" si="6"/>
        <v>154.47999999999999</v>
      </c>
      <c r="AJ10">
        <f t="shared" si="6"/>
        <v>105.9</v>
      </c>
      <c r="AK10">
        <f t="shared" si="6"/>
        <v>121.86</v>
      </c>
      <c r="AL10">
        <f t="shared" si="6"/>
        <v>123.38</v>
      </c>
      <c r="AM10">
        <f t="shared" si="6"/>
        <v>114.65</v>
      </c>
    </row>
    <row r="11" spans="1:39" x14ac:dyDescent="0.2">
      <c r="A11" t="s">
        <v>13</v>
      </c>
      <c r="B11" t="s">
        <v>0</v>
      </c>
      <c r="C11">
        <v>2773.2519149999998</v>
      </c>
      <c r="D11">
        <v>2775</v>
      </c>
      <c r="E11">
        <v>2771.5094779999999</v>
      </c>
      <c r="F11">
        <v>2773.9779659999999</v>
      </c>
      <c r="G11">
        <v>2768.8209459999998</v>
      </c>
      <c r="H11">
        <v>2770.3015</v>
      </c>
      <c r="J11">
        <f>ROUND((C11/$C$11)^2,2)</f>
        <v>1</v>
      </c>
      <c r="K11">
        <f t="shared" ref="K11:O11" si="10">ROUND((D11/$C$11)^2,2)</f>
        <v>1</v>
      </c>
      <c r="L11">
        <f t="shared" si="10"/>
        <v>1</v>
      </c>
      <c r="M11">
        <f t="shared" si="10"/>
        <v>1</v>
      </c>
      <c r="N11">
        <f t="shared" si="10"/>
        <v>1</v>
      </c>
      <c r="O11">
        <f t="shared" si="10"/>
        <v>1</v>
      </c>
      <c r="Q11" t="s">
        <v>13</v>
      </c>
      <c r="R11">
        <v>0.40269500000000003</v>
      </c>
      <c r="S11">
        <v>0.32919999999999999</v>
      </c>
      <c r="T11">
        <v>0.37808700000000001</v>
      </c>
      <c r="U11">
        <v>0.44154199999999999</v>
      </c>
      <c r="V11">
        <v>0.39143499999999998</v>
      </c>
      <c r="W11">
        <v>0.37904700000000002</v>
      </c>
      <c r="Y11" t="s">
        <v>13</v>
      </c>
      <c r="Z11">
        <f>1-J11</f>
        <v>0</v>
      </c>
      <c r="AA11">
        <f>1-K11</f>
        <v>0</v>
      </c>
      <c r="AB11">
        <f>1-L11</f>
        <v>0</v>
      </c>
      <c r="AC11">
        <f>1-M11</f>
        <v>0</v>
      </c>
      <c r="AD11">
        <f>1-N11</f>
        <v>0</v>
      </c>
      <c r="AE11">
        <f>1-O11</f>
        <v>0</v>
      </c>
      <c r="AG11" t="s">
        <v>13</v>
      </c>
      <c r="AH11">
        <f t="shared" si="6"/>
        <v>124.16</v>
      </c>
      <c r="AI11">
        <f t="shared" si="6"/>
        <v>151.88</v>
      </c>
      <c r="AJ11">
        <f t="shared" si="6"/>
        <v>132.24</v>
      </c>
      <c r="AK11">
        <f t="shared" si="6"/>
        <v>113.24</v>
      </c>
      <c r="AL11">
        <f t="shared" si="6"/>
        <v>127.74</v>
      </c>
      <c r="AM11">
        <f t="shared" si="6"/>
        <v>131.91</v>
      </c>
    </row>
    <row r="13" spans="1:39" x14ac:dyDescent="0.2">
      <c r="A13" t="s">
        <v>1</v>
      </c>
      <c r="B13" t="s">
        <v>0</v>
      </c>
      <c r="C13">
        <v>3203</v>
      </c>
      <c r="D13">
        <v>3197.4475990000001</v>
      </c>
      <c r="E13">
        <v>3188.6874870000001</v>
      </c>
      <c r="F13">
        <v>3194.718226</v>
      </c>
      <c r="G13">
        <v>3193.6293919999998</v>
      </c>
      <c r="H13">
        <v>3191.2325759999999</v>
      </c>
      <c r="J13">
        <f>ROUND((C13/$C$13)^2,2)</f>
        <v>1</v>
      </c>
      <c r="K13">
        <f t="shared" ref="K13:O13" si="11">ROUND((D13/$C$13)^2,2)</f>
        <v>1</v>
      </c>
      <c r="L13">
        <f t="shared" si="11"/>
        <v>0.99</v>
      </c>
      <c r="M13">
        <f t="shared" si="11"/>
        <v>0.99</v>
      </c>
      <c r="N13">
        <f t="shared" si="11"/>
        <v>0.99</v>
      </c>
      <c r="O13">
        <f t="shared" si="11"/>
        <v>0.99</v>
      </c>
      <c r="Q13" t="s">
        <v>1</v>
      </c>
      <c r="R13">
        <v>0.35599999999999998</v>
      </c>
      <c r="S13">
        <v>0.39716200000000002</v>
      </c>
      <c r="T13">
        <v>0.367421</v>
      </c>
      <c r="U13">
        <v>0.38502700000000001</v>
      </c>
      <c r="V13">
        <v>0.38392500000000002</v>
      </c>
      <c r="W13">
        <v>0.39095099999999999</v>
      </c>
      <c r="Y13" t="s">
        <v>1</v>
      </c>
      <c r="Z13">
        <f>1-J13</f>
        <v>0</v>
      </c>
      <c r="AA13">
        <f>1-K13</f>
        <v>0</v>
      </c>
      <c r="AB13">
        <f>1-L13</f>
        <v>1.0000000000000009E-2</v>
      </c>
      <c r="AC13">
        <f>1-M13</f>
        <v>1.0000000000000009E-2</v>
      </c>
      <c r="AD13">
        <f>1-N13</f>
        <v>1.0000000000000009E-2</v>
      </c>
      <c r="AE13">
        <f>1-O13</f>
        <v>1.0000000000000009E-2</v>
      </c>
      <c r="AG13" t="s">
        <v>1</v>
      </c>
      <c r="AH13">
        <f t="shared" ref="AH13:AM13" si="12">ROUND((1/(2*R13))*100,2)</f>
        <v>140.44999999999999</v>
      </c>
      <c r="AI13">
        <f t="shared" si="12"/>
        <v>125.89</v>
      </c>
      <c r="AJ13">
        <f t="shared" si="12"/>
        <v>136.08000000000001</v>
      </c>
      <c r="AK13">
        <f t="shared" si="12"/>
        <v>129.86000000000001</v>
      </c>
      <c r="AL13">
        <f t="shared" si="12"/>
        <v>130.22999999999999</v>
      </c>
      <c r="AM13">
        <f t="shared" si="12"/>
        <v>127.89</v>
      </c>
    </row>
    <row r="14" spans="1:39" x14ac:dyDescent="0.2">
      <c r="Z14">
        <f>1-J14</f>
        <v>1</v>
      </c>
      <c r="AA14">
        <f>1-K14</f>
        <v>1</v>
      </c>
      <c r="AB14">
        <f>1-L14</f>
        <v>1</v>
      </c>
      <c r="AC14">
        <f>1-M14</f>
        <v>1</v>
      </c>
      <c r="AD14">
        <f>1-N14</f>
        <v>1</v>
      </c>
      <c r="AE14">
        <f>1-O14</f>
        <v>1</v>
      </c>
    </row>
    <row r="15" spans="1:39" x14ac:dyDescent="0.2">
      <c r="A15" t="s">
        <v>14</v>
      </c>
      <c r="B15" t="s">
        <v>0</v>
      </c>
      <c r="C15">
        <v>3329</v>
      </c>
      <c r="D15">
        <v>3295</v>
      </c>
      <c r="E15">
        <v>3270.0434110000001</v>
      </c>
      <c r="F15">
        <v>3297.2904450000001</v>
      </c>
      <c r="G15">
        <v>3244.4981830000002</v>
      </c>
      <c r="H15">
        <v>3119.2344010000002</v>
      </c>
      <c r="J15">
        <f>ROUND((C15/$C$15)^2,2)</f>
        <v>1</v>
      </c>
      <c r="K15">
        <f t="shared" ref="K15:O15" si="13">ROUND((D15/$C$15)^2,2)</f>
        <v>0.98</v>
      </c>
      <c r="L15">
        <f t="shared" si="13"/>
        <v>0.96</v>
      </c>
      <c r="M15">
        <f t="shared" si="13"/>
        <v>0.98</v>
      </c>
      <c r="N15">
        <f t="shared" si="13"/>
        <v>0.95</v>
      </c>
      <c r="O15">
        <f t="shared" si="13"/>
        <v>0.88</v>
      </c>
      <c r="Q15" t="s">
        <v>14</v>
      </c>
      <c r="R15">
        <v>0.76829999999999998</v>
      </c>
      <c r="S15">
        <v>0.9012</v>
      </c>
      <c r="T15">
        <v>0.943774</v>
      </c>
      <c r="U15">
        <v>0.95369499999999996</v>
      </c>
      <c r="V15">
        <v>1.0121929999999999</v>
      </c>
      <c r="W15">
        <v>1.1487560000000001</v>
      </c>
      <c r="Y15" t="s">
        <v>14</v>
      </c>
      <c r="Z15">
        <f>1-J15</f>
        <v>0</v>
      </c>
      <c r="AA15">
        <f>1-K15</f>
        <v>2.0000000000000018E-2</v>
      </c>
      <c r="AB15">
        <f>1-L15</f>
        <v>4.0000000000000036E-2</v>
      </c>
      <c r="AC15">
        <f>1-M15</f>
        <v>2.0000000000000018E-2</v>
      </c>
      <c r="AD15">
        <f>1-N15</f>
        <v>5.0000000000000044E-2</v>
      </c>
      <c r="AE15">
        <f>1-O15</f>
        <v>0.12</v>
      </c>
      <c r="AG15" t="s">
        <v>14</v>
      </c>
      <c r="AH15">
        <f t="shared" ref="AH15:AM15" si="14">ROUND((1/(2*R15))*100,2)</f>
        <v>65.08</v>
      </c>
      <c r="AI15">
        <f t="shared" si="14"/>
        <v>55.48</v>
      </c>
      <c r="AJ15">
        <f t="shared" si="14"/>
        <v>52.98</v>
      </c>
      <c r="AK15">
        <f t="shared" si="14"/>
        <v>52.43</v>
      </c>
      <c r="AL15">
        <f t="shared" si="14"/>
        <v>49.4</v>
      </c>
      <c r="AM15">
        <f t="shared" si="14"/>
        <v>43.53</v>
      </c>
    </row>
    <row r="17" spans="1:39" x14ac:dyDescent="0.2">
      <c r="A17" t="s">
        <v>15</v>
      </c>
      <c r="B17" t="s">
        <v>0</v>
      </c>
      <c r="C17">
        <v>2219</v>
      </c>
      <c r="D17">
        <v>2205.1064780000002</v>
      </c>
      <c r="E17">
        <v>2177.024778</v>
      </c>
      <c r="F17">
        <v>2119.663168</v>
      </c>
      <c r="G17">
        <v>1990.1707710000001</v>
      </c>
      <c r="J17">
        <f>ROUND((C17/$C$17)^2,2)</f>
        <v>1</v>
      </c>
      <c r="K17">
        <f t="shared" ref="K17:N17" si="15">ROUND((D17/$C$17)^2,2)</f>
        <v>0.99</v>
      </c>
      <c r="L17">
        <f t="shared" si="15"/>
        <v>0.96</v>
      </c>
      <c r="M17">
        <f t="shared" si="15"/>
        <v>0.91</v>
      </c>
      <c r="N17">
        <f t="shared" si="15"/>
        <v>0.8</v>
      </c>
      <c r="Q17" t="s">
        <v>15</v>
      </c>
      <c r="R17">
        <v>0.6633</v>
      </c>
      <c r="S17">
        <v>0.66554800000000003</v>
      </c>
      <c r="T17">
        <v>0.650061</v>
      </c>
      <c r="U17">
        <v>0.76446499999999995</v>
      </c>
      <c r="V17">
        <v>1.1522760000000001</v>
      </c>
      <c r="Y17" t="s">
        <v>15</v>
      </c>
      <c r="Z17">
        <f>1-J17</f>
        <v>0</v>
      </c>
      <c r="AA17">
        <f>1-K17</f>
        <v>1.0000000000000009E-2</v>
      </c>
      <c r="AB17">
        <f>1-L17</f>
        <v>4.0000000000000036E-2</v>
      </c>
      <c r="AC17">
        <f>1-M17</f>
        <v>8.9999999999999969E-2</v>
      </c>
      <c r="AD17">
        <f>1-N17</f>
        <v>0.19999999999999996</v>
      </c>
      <c r="AG17" t="s">
        <v>15</v>
      </c>
      <c r="AH17">
        <f>ROUND((1/(2*R17))*100,2)</f>
        <v>75.38</v>
      </c>
      <c r="AI17">
        <f>ROUND((1/(2*S17))*100,2)</f>
        <v>75.13</v>
      </c>
      <c r="AJ17">
        <f>ROUND((1/(2*T17))*100,2)</f>
        <v>76.92</v>
      </c>
      <c r="AK17">
        <f>ROUND((1/(2*U17))*100,2)</f>
        <v>65.41</v>
      </c>
      <c r="AL17">
        <f>ROUND((1/(2*V17))*100,2)</f>
        <v>43.39</v>
      </c>
    </row>
    <row r="19" spans="1:39" x14ac:dyDescent="0.2">
      <c r="A19" t="s">
        <v>2</v>
      </c>
      <c r="B19" t="s">
        <v>0</v>
      </c>
      <c r="C19">
        <v>2943</v>
      </c>
      <c r="D19">
        <v>2929.087591</v>
      </c>
      <c r="E19">
        <v>2860.621056</v>
      </c>
      <c r="F19">
        <v>2849.364098</v>
      </c>
      <c r="G19">
        <v>2856.6062350000002</v>
      </c>
      <c r="H19">
        <v>2854.714907</v>
      </c>
      <c r="J19">
        <f>ROUND((C19/$C$19)^2,2)</f>
        <v>1</v>
      </c>
      <c r="K19">
        <f t="shared" ref="K19:O19" si="16">ROUND((D19/$C$19)^2,2)</f>
        <v>0.99</v>
      </c>
      <c r="L19">
        <f t="shared" si="16"/>
        <v>0.94</v>
      </c>
      <c r="M19">
        <f t="shared" si="16"/>
        <v>0.94</v>
      </c>
      <c r="N19">
        <f t="shared" si="16"/>
        <v>0.94</v>
      </c>
      <c r="O19">
        <f t="shared" si="16"/>
        <v>0.94</v>
      </c>
      <c r="Q19" t="s">
        <v>2</v>
      </c>
      <c r="R19">
        <v>0.39369999999999999</v>
      </c>
      <c r="S19">
        <v>0.44511000000000001</v>
      </c>
      <c r="T19">
        <v>0.54444599999999999</v>
      </c>
      <c r="U19">
        <v>0.43843700000000002</v>
      </c>
      <c r="V19">
        <v>0.59797400000000001</v>
      </c>
      <c r="W19">
        <v>0.37352099999999999</v>
      </c>
      <c r="Y19" t="s">
        <v>2</v>
      </c>
      <c r="Z19">
        <f>1-J19</f>
        <v>0</v>
      </c>
      <c r="AA19">
        <f>1-K19</f>
        <v>1.0000000000000009E-2</v>
      </c>
      <c r="AB19">
        <f>1-L19</f>
        <v>6.0000000000000053E-2</v>
      </c>
      <c r="AC19">
        <f>1-M19</f>
        <v>6.0000000000000053E-2</v>
      </c>
      <c r="AD19">
        <f>1-N19</f>
        <v>6.0000000000000053E-2</v>
      </c>
      <c r="AE19">
        <f>1-O19</f>
        <v>6.0000000000000053E-2</v>
      </c>
      <c r="AG19" t="s">
        <v>2</v>
      </c>
      <c r="AH19">
        <f t="shared" ref="AH19:AM19" si="17">ROUND((1/(2*R19))*100,2)</f>
        <v>127</v>
      </c>
      <c r="AI19">
        <f t="shared" si="17"/>
        <v>112.33</v>
      </c>
      <c r="AJ19">
        <f t="shared" si="17"/>
        <v>91.84</v>
      </c>
      <c r="AK19">
        <f t="shared" si="17"/>
        <v>114.04</v>
      </c>
      <c r="AL19">
        <f t="shared" si="17"/>
        <v>83.62</v>
      </c>
      <c r="AM19">
        <f t="shared" si="17"/>
        <v>133.86000000000001</v>
      </c>
    </row>
  </sheetData>
  <mergeCells count="5">
    <mergeCell ref="C1:H1"/>
    <mergeCell ref="J1:O1"/>
    <mergeCell ref="R1:W1"/>
    <mergeCell ref="Z1:AE1"/>
    <mergeCell ref="AH1:A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poutre</vt:lpstr>
      <vt:lpstr>plaque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Yannik fogue</dc:creator>
  <cp:lastModifiedBy>Yannik fogue</cp:lastModifiedBy>
  <dcterms:created xsi:type="dcterms:W3CDTF">2025-05-05T17:49:05Z</dcterms:created>
  <dcterms:modified xsi:type="dcterms:W3CDTF">2025-07-07T08:07:20Z</dcterms:modified>
</cp:coreProperties>
</file>